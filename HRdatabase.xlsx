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james/Documents/PROJECTS/HR Dashboard/"/>
    </mc:Choice>
  </mc:AlternateContent>
  <xr:revisionPtr revIDLastSave="0" documentId="13_ncr:1_{B8A84002-ECF2-6D47-A380-1DB3EE2399AF}" xr6:coauthVersionLast="47" xr6:coauthVersionMax="47" xr10:uidLastSave="{00000000-0000-0000-0000-000000000000}"/>
  <bookViews>
    <workbookView xWindow="0" yWindow="0" windowWidth="28800" windowHeight="18000" activeTab="1" xr2:uid="{408BA6AB-5196-496B-9C80-B057CC378CDA}"/>
  </bookViews>
  <sheets>
    <sheet name="Dashboard" sheetId="2" r:id="rId1"/>
    <sheet name="Data" sheetId="1" r:id="rId2"/>
    <sheet name="PivotTables" sheetId="3" r:id="rId3"/>
  </sheets>
  <definedNames>
    <definedName name="_xlchart.v1.0" hidden="1">PivotTables!$E$14:$E$18</definedName>
    <definedName name="_xlchart.v1.1" hidden="1">PivotTables!$G$14:$G$18</definedName>
    <definedName name="_xlchart.v1.10" hidden="1">PivotTables!$E$14:$E$18</definedName>
    <definedName name="_xlchart.v1.11" hidden="1">PivotTables!$G$14:$G$18</definedName>
    <definedName name="_xlchart.v1.12" hidden="1">PivotTables!$E$14:$E$18</definedName>
    <definedName name="_xlchart.v1.13" hidden="1">PivotTables!$G$14:$G$18</definedName>
    <definedName name="_xlchart.v1.14" hidden="1">PivotTables!$E$14:$E$18</definedName>
    <definedName name="_xlchart.v1.15" hidden="1">PivotTables!$G$14:$G$18</definedName>
    <definedName name="_xlchart.v1.2" hidden="1">PivotTables!$E$14:$E$18</definedName>
    <definedName name="_xlchart.v1.3" hidden="1">PivotTables!$G$14:$G$18</definedName>
    <definedName name="_xlchart.v1.4" hidden="1">PivotTables!$E$14:$E$18</definedName>
    <definedName name="_xlchart.v1.5" hidden="1">PivotTables!$G$14:$G$18</definedName>
    <definedName name="_xlchart.v1.6" hidden="1">PivotTables!$E$14:$E$18</definedName>
    <definedName name="_xlchart.v1.7" hidden="1">PivotTables!$G$14:$G$18</definedName>
    <definedName name="_xlchart.v1.8" hidden="1">PivotTables!$E$14:$E$18</definedName>
    <definedName name="_xlchart.v1.9" hidden="1">PivotTables!$G$14:$G$18</definedName>
    <definedName name="Slicer_Department">#N/A</definedName>
    <definedName name="Slicer_Gender">#N/A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 i="3" l="1"/>
  <c r="X17" i="3"/>
  <c r="X16" i="3"/>
  <c r="X15" i="3"/>
  <c r="X14" i="3"/>
  <c r="U18" i="3"/>
  <c r="U17" i="3"/>
  <c r="U16" i="3"/>
  <c r="U15" i="3"/>
  <c r="U14" i="3"/>
  <c r="G18" i="3"/>
  <c r="G17" i="3"/>
  <c r="G16" i="3"/>
  <c r="G15" i="3"/>
  <c r="G14" i="3"/>
  <c r="R18" i="3"/>
  <c r="R17" i="3"/>
  <c r="R16" i="3"/>
  <c r="R15" i="3"/>
  <c r="R14" i="3"/>
  <c r="O14" i="3"/>
  <c r="O13" i="3"/>
  <c r="O12" i="3"/>
  <c r="J21" i="3"/>
  <c r="J22" i="3"/>
  <c r="J18" i="3"/>
  <c r="J17" i="3"/>
  <c r="J16" i="3"/>
  <c r="J15" i="3"/>
  <c r="J14" i="3"/>
  <c r="F18" i="3"/>
  <c r="F17" i="3"/>
  <c r="F16" i="3"/>
  <c r="F15" i="3"/>
  <c r="F14" i="3"/>
  <c r="C12" i="3"/>
  <c r="C14" i="3"/>
  <c r="C13" i="3"/>
  <c r="X19" i="3" l="1"/>
  <c r="U19" i="3"/>
  <c r="G19" i="3"/>
  <c r="F19" i="3"/>
  <c r="K22" i="3"/>
  <c r="L22" i="3" s="1"/>
  <c r="K21" i="3"/>
  <c r="L21" i="3" s="1"/>
  <c r="J23" i="3"/>
  <c r="N17" i="3"/>
  <c r="O17" i="3" s="1"/>
  <c r="O15" i="3"/>
  <c r="N18" i="3"/>
  <c r="O18" i="3" s="1"/>
  <c r="N19" i="3"/>
  <c r="O19" i="3" s="1"/>
  <c r="C15" i="3"/>
</calcChain>
</file>

<file path=xl/sharedStrings.xml><?xml version="1.0" encoding="utf-8"?>
<sst xmlns="http://schemas.openxmlformats.org/spreadsheetml/2006/main" count="874" uniqueCount="229">
  <si>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</si>
  <si>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</si>
  <si>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</si>
  <si>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</si>
  <si>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</si>
  <si>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</si>
  <si>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</si>
  <si>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</si>
  <si>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</si>
  <si>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</si>
  <si>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</si>
  <si>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</si>
  <si>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</si>
  <si>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</si>
  <si>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</si>
  <si>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</si>
  <si>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</si>
  <si>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</si>
  <si>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</si>
  <si>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</si>
  <si>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</si>
  <si>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</si>
  <si>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</si>
  <si>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</si>
  <si>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</si>
  <si>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</si>
  <si>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</si>
  <si>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</si>
  <si>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</si>
  <si>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</si>
  <si>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</si>
  <si>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</si>
  <si>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</si>
  <si>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</si>
  <si>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</si>
  <si>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</si>
  <si>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</si>
  <si>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</si>
  <si>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</si>
  <si>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</si>
  <si>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</si>
  <si>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</si>
  <si>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</si>
  <si>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</si>
  <si>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</si>
  <si>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</si>
  <si>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</si>
  <si>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</si>
  <si>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</si>
  <si>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</si>
  <si>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</si>
  <si>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</si>
  <si>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</si>
  <si>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</si>
  <si>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</si>
  <si>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</si>
  <si>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</si>
  <si>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</si>
  <si>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</si>
  <si>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</si>
  <si>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</si>
  <si>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</si>
  <si>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</si>
  <si>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</si>
  <si>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</si>
  <si>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</si>
  <si>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</si>
  <si>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</si>
  <si>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</si>
  <si>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</si>
  <si>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</si>
  <si>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</si>
  <si>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</si>
  <si>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</si>
  <si>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</si>
  <si>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</si>
  <si>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</si>
  <si>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</si>
  <si>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</si>
  <si>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</si>
  <si>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</si>
  <si>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</si>
  <si>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</si>
  <si>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</si>
  <si>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</si>
  <si>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</si>
  <si>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</si>
  <si>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</si>
  <si>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</si>
  <si>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</si>
  <si>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</si>
  <si>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</si>
  <si>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</si>
  <si>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</si>
  <si>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</si>
  <si>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</si>
  <si>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</si>
  <si>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</si>
  <si>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</si>
  <si>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</si>
  <si>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</si>
  <si>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</si>
  <si>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</si>
  <si>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</si>
  <si>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</si>
  <si>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</si>
  <si>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</si>
  <si>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</si>
  <si>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</si>
  <si>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</si>
  <si>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</si>
  <si>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</si>
  <si>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</si>
  <si>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</si>
  <si>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</si>
  <si>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</si>
  <si>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</si>
  <si>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</si>
  <si>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</si>
  <si>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</si>
  <si>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</si>
  <si>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</si>
  <si>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</si>
  <si>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</si>
  <si>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</si>
  <si>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</si>
  <si>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</si>
  <si>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</si>
  <si>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</si>
  <si>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</si>
  <si>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</si>
  <si>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</si>
  <si>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</si>
  <si>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</si>
  <si>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</si>
  <si>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</si>
  <si>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</si>
  <si>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</si>
  <si>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</si>
  <si>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</si>
  <si>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</si>
  <si>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</si>
  <si>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</si>
  <si>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</si>
  <si>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</si>
  <si>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</si>
  <si>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</si>
  <si>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</si>
  <si>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</si>
  <si>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</si>
  <si>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</si>
  <si>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</si>
  <si>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</si>
  <si>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</si>
  <si>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</si>
  <si>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</si>
  <si>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</si>
  <si>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</si>
  <si>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</si>
  <si>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</si>
  <si>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</si>
  <si>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</si>
  <si>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</si>
  <si>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</si>
  <si>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</si>
  <si>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</si>
  <si>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</si>
  <si>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</si>
  <si>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</si>
  <si>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</si>
  <si>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</si>
  <si>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</si>
  <si>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</si>
  <si>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</si>
  <si>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</si>
  <si>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</si>
  <si>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</si>
  <si>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</si>
  <si>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</si>
  <si>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</si>
  <si>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</si>
  <si>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</si>
  <si>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</si>
  <si>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</si>
  <si>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</si>
  <si>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</si>
  <si>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</si>
  <si>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</si>
  <si>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</si>
  <si>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</si>
  <si>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</si>
  <si>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</si>
  <si>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</si>
  <si>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</si>
  <si>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</si>
  <si>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</si>
  <si>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</si>
  <si>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</si>
  <si>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</si>
  <si>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</si>
  <si>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</si>
  <si>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</si>
  <si>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</si>
  <si>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</si>
  <si>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</si>
  <si>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</si>
  <si>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</si>
  <si>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</si>
  <si>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</si>
  <si>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</si>
  <si>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</si>
  <si>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</si>
  <si>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</si>
  <si>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</si>
  <si>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</si>
  <si>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</si>
  <si>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</si>
  <si>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Sum of Salary</t>
  </si>
  <si>
    <t>TOTAL</t>
  </si>
  <si>
    <t>SALARIES BY DEPARTMENTS</t>
  </si>
  <si>
    <t>NUMBER OF EMPLOYEES BY EMPLOYMENT STATUS</t>
  </si>
  <si>
    <t>Column Labels</t>
  </si>
  <si>
    <t>AGE RANGE BY GENDER</t>
  </si>
  <si>
    <t>WORKPLACE</t>
  </si>
  <si>
    <t>SKILLS</t>
  </si>
  <si>
    <t>Sum of Leave Taken</t>
  </si>
  <si>
    <t>REGIONS</t>
  </si>
  <si>
    <t>Average of Performance Rating</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</si>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</sst>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_(* #,##0_);_(* \(#,##0\);_(* &quot;-&quot;??_);_(@_)"/>
    <numFmt numFmtId="173" formatCode="0.0"/>
  </numFmts>
  <fonts count="9">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rgb="FFFF0000"/>
      <name val="Arial"/>
      <family val="2"/>
    </font>
    <font>
      <b/>
      <sz val="11"/>
      <color theme="1"/>
      <name val="Aptos Narrow"/>
      <family val="2"/>
      <scheme val="minor"/>
    </font>
    <font>
      <b/>
      <sz val="11"/>
      <color theme="0"/>
      <name val="Aptos Narrow"/>
      <scheme val="minor"/>
    </font>
    <font>
      <b/>
      <sz val="11"/>
      <color theme="0"/>
      <name val="Aptos Narrow (Body)"/>
    </font>
  </fonts>
  <fills count="5">
    <fill>
      <patternFill patternType="none"/>
    </fill>
    <fill>
      <patternFill patternType="gray125"/>
    </fill>
    <fill>
      <patternFill patternType="solid">
        <fgColor rgb="FF282828"/>
        <bgColor indexed="64"/>
      </patternFill>
    </fill>
    <fill>
      <patternFill patternType="solid">
        <fgColor theme="2" tint="-0.749992370372631"/>
        <bgColor indexed="64"/>
      </patternFill>
    </fill>
    <fill>
      <patternFill patternType="solid">
        <fgColor theme="1" tint="0.249977111117893"/>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5" fillId="3" borderId="0" xfId="0" applyFont="1" applyFill="1"/>
    <xf numFmtId="0" fontId="0" fillId="0" borderId="0" xfId="0" pivotButton="1"/>
    <xf numFmtId="0" fontId="0" fillId="0" borderId="0" xfId="0" applyAlignment="1">
      <alignment horizontal="left"/>
    </xf>
    <xf numFmtId="0" fontId="0" fillId="0" borderId="0" xfId="0" applyNumberFormat="1"/>
    <xf numFmtId="0" fontId="7" fillId="3" borderId="0" xfId="0" applyFont="1" applyFill="1" applyAlignment="1">
      <alignment horizontal="center" vertical="center"/>
    </xf>
    <xf numFmtId="0" fontId="7" fillId="0" borderId="0" xfId="0" applyFont="1" applyFill="1" applyAlignment="1">
      <alignment horizontal="center" vertical="center"/>
    </xf>
    <xf numFmtId="0" fontId="7" fillId="4" borderId="0" xfId="0" applyFont="1" applyFill="1" applyAlignment="1">
      <alignment horizontal="center" vertical="center"/>
    </xf>
    <xf numFmtId="165" fontId="0" fillId="0" borderId="0" xfId="1" applyNumberFormat="1" applyFont="1"/>
    <xf numFmtId="165" fontId="0" fillId="0" borderId="0" xfId="0" applyNumberFormat="1"/>
    <xf numFmtId="9" fontId="0" fillId="0" borderId="0" xfId="2" applyFont="1"/>
    <xf numFmtId="0" fontId="8" fillId="4" borderId="0" xfId="0" applyFont="1" applyFill="1" applyAlignment="1">
      <alignment horizontal="center" vertical="center"/>
    </xf>
    <xf numFmtId="0" fontId="6" fillId="4" borderId="0" xfId="0" applyFont="1" applyFill="1" applyAlignment="1">
      <alignment horizontal="center" vertical="center"/>
    </xf>
    <xf numFmtId="9" fontId="0" fillId="0" borderId="0" xfId="0" applyNumberFormat="1"/>
    <xf numFmtId="173" fontId="0" fillId="0" borderId="0" xfId="0" applyNumberFormat="1"/>
  </cellXfs>
  <cellStyles count="3">
    <cellStyle name="Comma" xfId="1" builtinId="3"/>
    <cellStyle name="Normal" xfId="0" builtinId="0"/>
    <cellStyle name="Percent" xfId="2" builtinId="5"/>
  </cellStyles>
  <dxfs count="127">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165" formatCode="_(* #,##0_);_(* \(#,##0\);_(* &quot;-&quot;??_);_(@_)"/>
    </dxf>
    <dxf>
      <numFmt numFmtId="2" formatCode="0.00"/>
    </dxf>
    <dxf>
      <numFmt numFmtId="173" formatCode="0.0"/>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2" formatCode="0.00"/>
    </dxf>
    <dxf>
      <numFmt numFmtId="173" formatCode="0.0"/>
    </dxf>
    <dxf>
      <numFmt numFmtId="165" formatCode="_(* #,##0_);_(* \(#,##0\);_(* &quot;-&quot;??_);_(@_)"/>
    </dxf>
    <dxf>
      <numFmt numFmtId="165" formatCode="_(* #,##0_);_(* \(#,##0\);_(* &quot;-&quot;??_);_(@_)"/>
    </dxf>
    <dxf>
      <numFmt numFmtId="2" formatCode="0.00"/>
    </dxf>
    <dxf>
      <numFmt numFmtId="173" formatCode="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73" formatCode="0.0"/>
    </dxf>
    <dxf>
      <numFmt numFmtId="2" formatCode="0.00"/>
    </dxf>
    <dxf>
      <numFmt numFmtId="165" formatCode="_(* #,##0_);_(* \(#,##0\);_(* &quot;-&quot;??_);_(@_)"/>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0" defaultTableStyle="TableStyleMedium2" defaultPivotStyle="PivotStyleLight16"/>
  <colors>
    <mruColors>
      <color rgb="FF0C2E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lotArea>
      <c:layout/>
      <c:pieChart>
        <c:varyColors val="1"/>
        <c:ser>
          <c:idx val="0"/>
          <c:order val="0"/>
          <c:spPr>
            <a:ln>
              <a:solidFill>
                <a:srgbClr val="0C2E3E"/>
              </a:solidFill>
            </a:ln>
          </c:spPr>
          <c:explosion val="3"/>
          <c:dPt>
            <c:idx val="0"/>
            <c:bubble3D val="0"/>
            <c:spPr>
              <a:solidFill>
                <a:schemeClr val="accent2">
                  <a:lumMod val="75000"/>
                </a:schemeClr>
              </a:solidFill>
              <a:ln w="19050">
                <a:solidFill>
                  <a:srgbClr val="0C2E3E"/>
                </a:solidFill>
              </a:ln>
              <a:effectLst/>
            </c:spPr>
            <c:extLst>
              <c:ext xmlns:c16="http://schemas.microsoft.com/office/drawing/2014/chart" uri="{C3380CC4-5D6E-409C-BE32-E72D297353CC}">
                <c16:uniqueId val="{00000001-CE40-4749-B139-6F904C18B45F}"/>
              </c:ext>
            </c:extLst>
          </c:dPt>
          <c:dPt>
            <c:idx val="1"/>
            <c:bubble3D val="0"/>
            <c:spPr>
              <a:solidFill>
                <a:schemeClr val="tx1">
                  <a:lumMod val="95000"/>
                  <a:lumOff val="5000"/>
                </a:schemeClr>
              </a:solidFill>
              <a:ln w="19050">
                <a:solidFill>
                  <a:srgbClr val="0C2E3E"/>
                </a:solidFill>
              </a:ln>
              <a:effectLst/>
            </c:spPr>
            <c:extLst>
              <c:ext xmlns:c16="http://schemas.microsoft.com/office/drawing/2014/chart" uri="{C3380CC4-5D6E-409C-BE32-E72D297353CC}">
                <c16:uniqueId val="{00000003-CE40-4749-B139-6F904C18B45F}"/>
              </c:ext>
            </c:extLst>
          </c:dPt>
          <c:dPt>
            <c:idx val="2"/>
            <c:bubble3D val="0"/>
            <c:spPr>
              <a:solidFill>
                <a:schemeClr val="bg1"/>
              </a:solidFill>
              <a:ln w="19050">
                <a:solidFill>
                  <a:srgbClr val="0C2E3E"/>
                </a:solidFill>
              </a:ln>
              <a:effectLst/>
            </c:spPr>
            <c:extLst>
              <c:ext xmlns:c16="http://schemas.microsoft.com/office/drawing/2014/chart" uri="{C3380CC4-5D6E-409C-BE32-E72D297353CC}">
                <c16:uniqueId val="{00000005-CE40-4749-B139-6F904C18B45F}"/>
              </c:ext>
            </c:extLst>
          </c:dPt>
          <c:cat>
            <c:strRef>
              <c:f>PivotTables!$B$12:$B$14</c:f>
              <c:strCache>
                <c:ptCount val="3"/>
                <c:pt idx="0">
                  <c:v>Contract</c:v>
                </c:pt>
                <c:pt idx="1">
                  <c:v>Full-Time</c:v>
                </c:pt>
                <c:pt idx="2">
                  <c:v>Part-Time</c:v>
                </c:pt>
              </c:strCache>
            </c:strRef>
          </c:cat>
          <c:val>
            <c:numRef>
              <c:f>PivotTables!$C$12:$C$14</c:f>
              <c:numCache>
                <c:formatCode>General</c:formatCode>
                <c:ptCount val="3"/>
                <c:pt idx="0">
                  <c:v>17</c:v>
                </c:pt>
                <c:pt idx="1">
                  <c:v>20</c:v>
                </c:pt>
                <c:pt idx="2">
                  <c:v>13</c:v>
                </c:pt>
              </c:numCache>
            </c:numRef>
          </c:val>
          <c:extLst>
            <c:ext xmlns:c16="http://schemas.microsoft.com/office/drawing/2014/chart" uri="{C3380CC4-5D6E-409C-BE32-E72D297353CC}">
              <c16:uniqueId val="{00000006-CE40-4749-B139-6F904C18B45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[HRdatabase.xlsx]PivotTables!age range</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79997812773405E-2"/>
          <c:y val="4.2804882159101415E-2"/>
          <c:w val="0.72545056867891511"/>
          <c:h val="0.85790242537952999"/>
        </c:manualLayout>
      </c:layout>
      <c:barChart>
        <c:barDir val="col"/>
        <c:grouping val="clustered"/>
        <c:varyColors val="0"/>
        <c:ser>
          <c:idx val="0"/>
          <c:order val="0"/>
          <c:tx>
            <c:strRef>
              <c:f>PivotTables!$J$5:$J$6</c:f>
              <c:strCache>
                <c:ptCount val="1"/>
                <c:pt idx="0">
                  <c:v>Female</c:v>
                </c:pt>
              </c:strCache>
            </c:strRef>
          </c:tx>
          <c:spPr>
            <a:solidFill>
              <a:schemeClr val="tx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PivotTables!$I$7:$I$12</c:f>
              <c:strCache>
                <c:ptCount val="5"/>
                <c:pt idx="0">
                  <c:v>18-25</c:v>
                </c:pt>
                <c:pt idx="1">
                  <c:v>26-35</c:v>
                </c:pt>
                <c:pt idx="2">
                  <c:v>36-45</c:v>
                </c:pt>
                <c:pt idx="3">
                  <c:v>46-55</c:v>
                </c:pt>
                <c:pt idx="4">
                  <c:v>56 &lt;</c:v>
                </c:pt>
              </c:strCache>
            </c:strRef>
          </c:cat>
          <c:val>
            <c:numRef>
              <c:f>PivotTables!$J$7:$J$12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FD75-C949-B076-7F0C240C2B4C}"/>
            </c:ext>
          </c:extLst>
        </c:ser>
        <c:ser>
          <c:idx val="1"/>
          <c:order val="1"/>
          <c:tx>
            <c:strRef>
              <c:f>PivotTables!$K$5:$K$6</c:f>
              <c:strCache>
                <c:ptCount val="1"/>
                <c:pt idx="0">
                  <c:v>Male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accent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PivotTables!$I$7:$I$12</c:f>
              <c:strCache>
                <c:ptCount val="5"/>
                <c:pt idx="0">
                  <c:v>18-25</c:v>
                </c:pt>
                <c:pt idx="1">
                  <c:v>26-35</c:v>
                </c:pt>
                <c:pt idx="2">
                  <c:v>36-45</c:v>
                </c:pt>
                <c:pt idx="3">
                  <c:v>46-55</c:v>
                </c:pt>
                <c:pt idx="4">
                  <c:v>56 &lt;</c:v>
                </c:pt>
              </c:strCache>
            </c:strRef>
          </c:cat>
          <c:val>
            <c:numRef>
              <c:f>PivotTables!$K$7:$K$12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FD75-C949-B076-7F0C240C2B4C}"/>
            </c:ext>
          </c:extLst>
        </c:ser>
        <c:dLbls>
          <c:dLblPos val="outEnd"/>
          <c:showLegendKey val="0"/>
          <c:showVal val="1"/>
          <c:showCatName val="0"/>
          <c:showSerName val="0"/>
          <c:showPercent val="0"/>
          <c:showBubbleSize val="0"/>
        </c:dLbls>
        <c:gapWidth val="219"/>
        <c:overlap val="-27"/>
        <c:axId val="235932287"/>
        <c:axId val="235941247"/>
      </c:barChart>
      <c:catAx>
        <c:axId val="23593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35941247"/>
        <c:crosses val="autoZero"/>
        <c:auto val="1"/>
        <c:lblAlgn val="ctr"/>
        <c:lblOffset val="100"/>
        <c:noMultiLvlLbl val="0"/>
      </c:catAx>
      <c:valAx>
        <c:axId val="235941247"/>
        <c:scaling>
          <c:orientation val="minMax"/>
        </c:scaling>
        <c:delete val="1"/>
        <c:axPos val="l"/>
        <c:majorGridlines>
          <c:spPr>
            <a:ln w="9525" cap="flat" cmpd="sng" algn="ctr">
              <a:solidFill>
                <a:schemeClr val="accent2">
                  <a:lumMod val="75000"/>
                  <a:alpha val="74483"/>
                </a:schemeClr>
              </a:solidFill>
              <a:prstDash val="dashDot"/>
              <a:round/>
            </a:ln>
            <a:effectLst/>
          </c:spPr>
        </c:majorGridlines>
        <c:numFmt formatCode="General" sourceLinked="1"/>
        <c:majorTickMark val="none"/>
        <c:minorTickMark val="none"/>
        <c:tickLblPos val="nextTo"/>
        <c:crossAx val="23593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PivotTables!$N$17</c:f>
              <c:numCache>
                <c:formatCode>0%</c:formatCode>
                <c:ptCount val="1"/>
                <c:pt idx="0">
                  <c:v>0.46</c:v>
                </c:pt>
              </c:numCache>
            </c:numRef>
          </c:val>
          <c:extLst>
            <c:ext xmlns:c16="http://schemas.microsoft.com/office/drawing/2014/chart" uri="{C3380CC4-5D6E-409C-BE32-E72D297353CC}">
              <c16:uniqueId val="{00000000-D01A-7040-8FF3-385D2343AE1C}"/>
            </c:ext>
          </c:extLst>
        </c:ser>
        <c:ser>
          <c:idx val="1"/>
          <c:order val="1"/>
          <c:spPr>
            <a:solidFill>
              <a:schemeClr val="tx1"/>
            </a:solidFill>
            <a:ln>
              <a:noFill/>
            </a:ln>
            <a:effectLst/>
          </c:spPr>
          <c:invertIfNegative val="0"/>
          <c:val>
            <c:numRef>
              <c:f>PivotTables!$O$17</c:f>
              <c:numCache>
                <c:formatCode>0%</c:formatCode>
                <c:ptCount val="1"/>
                <c:pt idx="0">
                  <c:v>0.54</c:v>
                </c:pt>
              </c:numCache>
            </c:numRef>
          </c:val>
          <c:extLst>
            <c:ext xmlns:c16="http://schemas.microsoft.com/office/drawing/2014/chart" uri="{C3380CC4-5D6E-409C-BE32-E72D297353CC}">
              <c16:uniqueId val="{00000001-D01A-7040-8FF3-385D2343AE1C}"/>
            </c:ext>
          </c:extLst>
        </c:ser>
        <c:dLbls>
          <c:showLegendKey val="0"/>
          <c:showVal val="0"/>
          <c:showCatName val="0"/>
          <c:showSerName val="0"/>
          <c:showPercent val="0"/>
          <c:showBubbleSize val="0"/>
        </c:dLbls>
        <c:gapWidth val="150"/>
        <c:overlap val="100"/>
        <c:axId val="250084671"/>
        <c:axId val="248155647"/>
      </c:barChart>
      <c:catAx>
        <c:axId val="250084671"/>
        <c:scaling>
          <c:orientation val="minMax"/>
        </c:scaling>
        <c:delete val="1"/>
        <c:axPos val="l"/>
        <c:majorTickMark val="none"/>
        <c:minorTickMark val="none"/>
        <c:tickLblPos val="nextTo"/>
        <c:crossAx val="248155647"/>
        <c:crosses val="autoZero"/>
        <c:auto val="1"/>
        <c:lblAlgn val="ctr"/>
        <c:lblOffset val="100"/>
        <c:noMultiLvlLbl val="0"/>
      </c:catAx>
      <c:valAx>
        <c:axId val="248155647"/>
        <c:scaling>
          <c:orientation val="minMax"/>
        </c:scaling>
        <c:delete val="1"/>
        <c:axPos val="b"/>
        <c:numFmt formatCode="0%" sourceLinked="1"/>
        <c:majorTickMark val="none"/>
        <c:minorTickMark val="none"/>
        <c:tickLblPos val="nextTo"/>
        <c:crossAx val="2500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PivotTables!$N$18</c:f>
              <c:numCache>
                <c:formatCode>0%</c:formatCode>
                <c:ptCount val="1"/>
                <c:pt idx="0">
                  <c:v>0.16</c:v>
                </c:pt>
              </c:numCache>
            </c:numRef>
          </c:val>
          <c:extLst>
            <c:ext xmlns:c16="http://schemas.microsoft.com/office/drawing/2014/chart" uri="{C3380CC4-5D6E-409C-BE32-E72D297353CC}">
              <c16:uniqueId val="{00000000-5785-A544-811A-297098FAF7C6}"/>
            </c:ext>
          </c:extLst>
        </c:ser>
        <c:ser>
          <c:idx val="1"/>
          <c:order val="1"/>
          <c:spPr>
            <a:solidFill>
              <a:schemeClr val="tx1"/>
            </a:solidFill>
            <a:ln>
              <a:noFill/>
            </a:ln>
            <a:effectLst/>
          </c:spPr>
          <c:invertIfNegative val="0"/>
          <c:val>
            <c:numRef>
              <c:f>PivotTables!$O$18</c:f>
              <c:numCache>
                <c:formatCode>0%</c:formatCode>
                <c:ptCount val="1"/>
                <c:pt idx="0">
                  <c:v>0.84</c:v>
                </c:pt>
              </c:numCache>
            </c:numRef>
          </c:val>
          <c:extLst>
            <c:ext xmlns:c16="http://schemas.microsoft.com/office/drawing/2014/chart" uri="{C3380CC4-5D6E-409C-BE32-E72D297353CC}">
              <c16:uniqueId val="{00000001-5785-A544-811A-297098FAF7C6}"/>
            </c:ext>
          </c:extLst>
        </c:ser>
        <c:dLbls>
          <c:showLegendKey val="0"/>
          <c:showVal val="0"/>
          <c:showCatName val="0"/>
          <c:showSerName val="0"/>
          <c:showPercent val="0"/>
          <c:showBubbleSize val="0"/>
        </c:dLbls>
        <c:gapWidth val="150"/>
        <c:overlap val="100"/>
        <c:axId val="247072511"/>
        <c:axId val="237839999"/>
      </c:barChart>
      <c:catAx>
        <c:axId val="247072511"/>
        <c:scaling>
          <c:orientation val="minMax"/>
        </c:scaling>
        <c:delete val="1"/>
        <c:axPos val="l"/>
        <c:majorTickMark val="none"/>
        <c:minorTickMark val="none"/>
        <c:tickLblPos val="nextTo"/>
        <c:crossAx val="237839999"/>
        <c:crosses val="autoZero"/>
        <c:auto val="1"/>
        <c:lblAlgn val="ctr"/>
        <c:lblOffset val="100"/>
        <c:noMultiLvlLbl val="0"/>
      </c:catAx>
      <c:valAx>
        <c:axId val="237839999"/>
        <c:scaling>
          <c:orientation val="minMax"/>
        </c:scaling>
        <c:delete val="1"/>
        <c:axPos val="b"/>
        <c:numFmt formatCode="0%" sourceLinked="1"/>
        <c:majorTickMark val="none"/>
        <c:minorTickMark val="none"/>
        <c:tickLblPos val="nextTo"/>
        <c:crossAx val="2470725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987959916700491E-2"/>
          <c:y val="0.13518142566569838"/>
          <c:w val="0.89120480379539002"/>
          <c:h val="0.7296371486686033"/>
        </c:manualLayout>
      </c:layout>
      <c:barChart>
        <c:barDir val="bar"/>
        <c:grouping val="stacked"/>
        <c:varyColors val="0"/>
        <c:ser>
          <c:idx val="0"/>
          <c:order val="0"/>
          <c:spPr>
            <a:solidFill>
              <a:schemeClr val="accent2">
                <a:lumMod val="75000"/>
              </a:schemeClr>
            </a:solidFill>
            <a:ln>
              <a:noFill/>
            </a:ln>
            <a:effectLst/>
          </c:spPr>
          <c:invertIfNegative val="0"/>
          <c:val>
            <c:numRef>
              <c:f>PivotTables!$N$19</c:f>
              <c:numCache>
                <c:formatCode>0%</c:formatCode>
                <c:ptCount val="1"/>
                <c:pt idx="0">
                  <c:v>0.38</c:v>
                </c:pt>
              </c:numCache>
            </c:numRef>
          </c:val>
          <c:extLst>
            <c:ext xmlns:c16="http://schemas.microsoft.com/office/drawing/2014/chart" uri="{C3380CC4-5D6E-409C-BE32-E72D297353CC}">
              <c16:uniqueId val="{00000000-F3E6-7D4C-AEDC-4938E0195B95}"/>
            </c:ext>
          </c:extLst>
        </c:ser>
        <c:ser>
          <c:idx val="1"/>
          <c:order val="1"/>
          <c:spPr>
            <a:solidFill>
              <a:schemeClr val="tx1"/>
            </a:solidFill>
            <a:ln>
              <a:noFill/>
            </a:ln>
            <a:effectLst/>
          </c:spPr>
          <c:invertIfNegative val="0"/>
          <c:val>
            <c:numRef>
              <c:f>PivotTables!$O$19</c:f>
              <c:numCache>
                <c:formatCode>0%</c:formatCode>
                <c:ptCount val="1"/>
                <c:pt idx="0">
                  <c:v>0.62</c:v>
                </c:pt>
              </c:numCache>
            </c:numRef>
          </c:val>
          <c:extLst>
            <c:ext xmlns:c16="http://schemas.microsoft.com/office/drawing/2014/chart" uri="{C3380CC4-5D6E-409C-BE32-E72D297353CC}">
              <c16:uniqueId val="{00000001-F3E6-7D4C-AEDC-4938E0195B95}"/>
            </c:ext>
          </c:extLst>
        </c:ser>
        <c:dLbls>
          <c:showLegendKey val="0"/>
          <c:showVal val="0"/>
          <c:showCatName val="0"/>
          <c:showSerName val="0"/>
          <c:showPercent val="0"/>
          <c:showBubbleSize val="0"/>
        </c:dLbls>
        <c:gapWidth val="150"/>
        <c:overlap val="100"/>
        <c:axId val="236956607"/>
        <c:axId val="236946303"/>
      </c:barChart>
      <c:catAx>
        <c:axId val="236956607"/>
        <c:scaling>
          <c:orientation val="minMax"/>
        </c:scaling>
        <c:delete val="1"/>
        <c:axPos val="l"/>
        <c:majorTickMark val="none"/>
        <c:minorTickMark val="none"/>
        <c:tickLblPos val="nextTo"/>
        <c:crossAx val="236946303"/>
        <c:crosses val="autoZero"/>
        <c:auto val="1"/>
        <c:lblAlgn val="ctr"/>
        <c:lblOffset val="100"/>
        <c:noMultiLvlLbl val="0"/>
      </c:catAx>
      <c:valAx>
        <c:axId val="236946303"/>
        <c:scaling>
          <c:orientation val="minMax"/>
        </c:scaling>
        <c:delete val="1"/>
        <c:axPos val="b"/>
        <c:numFmt formatCode="0%" sourceLinked="1"/>
        <c:majorTickMark val="none"/>
        <c:minorTickMark val="none"/>
        <c:tickLblPos val="nextTo"/>
        <c:crossAx val="236956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75000"/>
                </a:schemeClr>
              </a:solidFill>
              <a:ln w="19050">
                <a:noFill/>
              </a:ln>
              <a:effectLst/>
            </c:spPr>
            <c:extLst>
              <c:ext xmlns:c16="http://schemas.microsoft.com/office/drawing/2014/chart" uri="{C3380CC4-5D6E-409C-BE32-E72D297353CC}">
                <c16:uniqueId val="{00000001-B198-4741-82D0-03FD16C8089B}"/>
              </c:ext>
            </c:extLst>
          </c:dPt>
          <c:dPt>
            <c:idx val="1"/>
            <c:bubble3D val="0"/>
            <c:spPr>
              <a:solidFill>
                <a:schemeClr val="bg1"/>
              </a:solidFill>
              <a:ln w="19050">
                <a:noFill/>
              </a:ln>
              <a:effectLst/>
            </c:spPr>
            <c:extLst>
              <c:ext xmlns:c16="http://schemas.microsoft.com/office/drawing/2014/chart" uri="{C3380CC4-5D6E-409C-BE32-E72D297353CC}">
                <c16:uniqueId val="{00000003-B198-4741-82D0-03FD16C8089B}"/>
              </c:ext>
            </c:extLst>
          </c:dPt>
          <c:val>
            <c:numRef>
              <c:f>PivotTables!$K$21:$L$21</c:f>
              <c:numCache>
                <c:formatCode>0%</c:formatCode>
                <c:ptCount val="2"/>
                <c:pt idx="0">
                  <c:v>0.48</c:v>
                </c:pt>
                <c:pt idx="1">
                  <c:v>0.52</c:v>
                </c:pt>
              </c:numCache>
            </c:numRef>
          </c:val>
          <c:extLst>
            <c:ext xmlns:c16="http://schemas.microsoft.com/office/drawing/2014/chart" uri="{C3380CC4-5D6E-409C-BE32-E72D297353CC}">
              <c16:uniqueId val="{00000004-B198-4741-82D0-03FD16C8089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2">
                  <a:lumMod val="10000"/>
                </a:schemeClr>
              </a:solidFill>
              <a:ln w="19050">
                <a:noFill/>
              </a:ln>
              <a:effectLst/>
            </c:spPr>
            <c:extLst>
              <c:ext xmlns:c16="http://schemas.microsoft.com/office/drawing/2014/chart" uri="{C3380CC4-5D6E-409C-BE32-E72D297353CC}">
                <c16:uniqueId val="{00000001-FE24-154E-8C8E-C7D0EABD4510}"/>
              </c:ext>
            </c:extLst>
          </c:dPt>
          <c:dPt>
            <c:idx val="1"/>
            <c:bubble3D val="0"/>
            <c:spPr>
              <a:solidFill>
                <a:schemeClr val="bg1"/>
              </a:solidFill>
              <a:ln w="19050">
                <a:noFill/>
              </a:ln>
              <a:effectLst/>
            </c:spPr>
            <c:extLst>
              <c:ext xmlns:c16="http://schemas.microsoft.com/office/drawing/2014/chart" uri="{C3380CC4-5D6E-409C-BE32-E72D297353CC}">
                <c16:uniqueId val="{00000003-FE24-154E-8C8E-C7D0EABD4510}"/>
              </c:ext>
            </c:extLst>
          </c:dPt>
          <c:val>
            <c:numRef>
              <c:f>PivotTables!$K$22:$L$22</c:f>
              <c:numCache>
                <c:formatCode>0%</c:formatCode>
                <c:ptCount val="2"/>
                <c:pt idx="0">
                  <c:v>0.52</c:v>
                </c:pt>
                <c:pt idx="1">
                  <c:v>0.48</c:v>
                </c:pt>
              </c:numCache>
            </c:numRef>
          </c:val>
          <c:extLst>
            <c:ext xmlns:c16="http://schemas.microsoft.com/office/drawing/2014/chart" uri="{C3380CC4-5D6E-409C-BE32-E72D297353CC}">
              <c16:uniqueId val="{00000004-FE24-154E-8C8E-C7D0EABD451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C2E3E"/>
            </a:solidFill>
            <a:ln w="0">
              <a:solidFill>
                <a:schemeClr val="accent1">
                  <a:shade val="15000"/>
                  <a:alpha val="81662"/>
                </a:schemeClr>
              </a:solidFill>
              <a:prstDash val="dashDot"/>
            </a:ln>
            <a:effectLst/>
          </c:spPr>
          <c:invertIfNegative val="0"/>
          <c:dPt>
            <c:idx val="0"/>
            <c:invertIfNegative val="0"/>
            <c:bubble3D val="0"/>
            <c:spPr>
              <a:solidFill>
                <a:schemeClr val="tx1"/>
              </a:solidFill>
              <a:ln w="0">
                <a:solidFill>
                  <a:schemeClr val="accent1">
                    <a:shade val="15000"/>
                    <a:alpha val="81662"/>
                  </a:schemeClr>
                </a:solidFill>
                <a:prstDash val="dashDot"/>
              </a:ln>
              <a:effectLst/>
            </c:spPr>
            <c:extLst>
              <c:ext xmlns:c16="http://schemas.microsoft.com/office/drawing/2014/chart" uri="{C3380CC4-5D6E-409C-BE32-E72D297353CC}">
                <c16:uniqueId val="{00000005-5C69-C54D-B359-79FAAFCFE2AB}"/>
              </c:ext>
            </c:extLst>
          </c:dPt>
          <c:dPt>
            <c:idx val="1"/>
            <c:invertIfNegative val="0"/>
            <c:bubble3D val="0"/>
            <c:spPr>
              <a:solidFill>
                <a:schemeClr val="tx1">
                  <a:lumMod val="75000"/>
                  <a:lumOff val="25000"/>
                </a:schemeClr>
              </a:solidFill>
              <a:ln w="0">
                <a:solidFill>
                  <a:schemeClr val="accent1">
                    <a:shade val="15000"/>
                    <a:alpha val="81662"/>
                  </a:schemeClr>
                </a:solidFill>
                <a:prstDash val="dashDot"/>
              </a:ln>
              <a:effectLst/>
            </c:spPr>
            <c:extLst>
              <c:ext xmlns:c16="http://schemas.microsoft.com/office/drawing/2014/chart" uri="{C3380CC4-5D6E-409C-BE32-E72D297353CC}">
                <c16:uniqueId val="{00000004-5C69-C54D-B359-79FAAFCFE2AB}"/>
              </c:ext>
            </c:extLst>
          </c:dPt>
          <c:dPt>
            <c:idx val="2"/>
            <c:invertIfNegative val="0"/>
            <c:bubble3D val="0"/>
            <c:spPr>
              <a:solidFill>
                <a:schemeClr val="tx2"/>
              </a:solidFill>
              <a:ln w="0">
                <a:solidFill>
                  <a:schemeClr val="accent1">
                    <a:shade val="15000"/>
                    <a:alpha val="81662"/>
                  </a:schemeClr>
                </a:solidFill>
                <a:prstDash val="dashDot"/>
              </a:ln>
              <a:effectLst/>
            </c:spPr>
            <c:extLst>
              <c:ext xmlns:c16="http://schemas.microsoft.com/office/drawing/2014/chart" uri="{C3380CC4-5D6E-409C-BE32-E72D297353CC}">
                <c16:uniqueId val="{00000003-5C69-C54D-B359-79FAAFCFE2AB}"/>
              </c:ext>
            </c:extLst>
          </c:dPt>
          <c:dPt>
            <c:idx val="3"/>
            <c:invertIfNegative val="0"/>
            <c:bubble3D val="0"/>
            <c:spPr>
              <a:solidFill>
                <a:schemeClr val="bg1"/>
              </a:solidFill>
              <a:ln w="0">
                <a:solidFill>
                  <a:schemeClr val="accent1">
                    <a:shade val="15000"/>
                    <a:alpha val="81662"/>
                  </a:schemeClr>
                </a:solidFill>
                <a:prstDash val="dashDot"/>
              </a:ln>
              <a:effectLst/>
            </c:spPr>
            <c:extLst>
              <c:ext xmlns:c16="http://schemas.microsoft.com/office/drawing/2014/chart" uri="{C3380CC4-5D6E-409C-BE32-E72D297353CC}">
                <c16:uniqueId val="{00000002-5C69-C54D-B359-79FAAFCFE2AB}"/>
              </c:ext>
            </c:extLst>
          </c:dPt>
          <c:dPt>
            <c:idx val="4"/>
            <c:invertIfNegative val="0"/>
            <c:bubble3D val="0"/>
            <c:spPr>
              <a:solidFill>
                <a:schemeClr val="accent2">
                  <a:lumMod val="75000"/>
                </a:schemeClr>
              </a:solidFill>
              <a:ln w="0">
                <a:solidFill>
                  <a:schemeClr val="accent1">
                    <a:shade val="15000"/>
                    <a:alpha val="81662"/>
                  </a:schemeClr>
                </a:solidFill>
                <a:prstDash val="dashDot"/>
              </a:ln>
              <a:effectLst/>
            </c:spPr>
            <c:extLst>
              <c:ext xmlns:c16="http://schemas.microsoft.com/office/drawing/2014/chart" uri="{C3380CC4-5D6E-409C-BE32-E72D297353CC}">
                <c16:uniqueId val="{00000001-5C69-C54D-B359-79FAAFCFE2AB}"/>
              </c:ext>
            </c:extLst>
          </c:dPt>
          <c:dLbls>
            <c:spPr>
              <a:noFill/>
              <a:ln>
                <a:noFill/>
              </a:ln>
              <a:effectLst/>
            </c:spPr>
            <c:txPr>
              <a:bodyPr rot="0" spcFirstLastPara="1" vertOverflow="ellipsis" vert="horz" wrap="square" anchor="ctr" anchorCtr="1"/>
              <a:lstStyle/>
              <a:p>
                <a:pPr>
                  <a:defRPr sz="1600" b="0" i="0" u="none" strike="noStrike" kern="1200" baseline="0">
                    <a:ln>
                      <a:solidFill>
                        <a:schemeClr val="tx1"/>
                      </a:solidFill>
                    </a:ln>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PivotTables!$E$14:$E$18</c:f>
              <c:strCache>
                <c:ptCount val="5"/>
                <c:pt idx="0">
                  <c:v>Analyst</c:v>
                </c:pt>
                <c:pt idx="1">
                  <c:v>Designer</c:v>
                </c:pt>
                <c:pt idx="2">
                  <c:v>Developer</c:v>
                </c:pt>
                <c:pt idx="3">
                  <c:v>HR Specialist</c:v>
                </c:pt>
                <c:pt idx="4">
                  <c:v>Manager</c:v>
                </c:pt>
              </c:strCache>
            </c:strRef>
          </c:cat>
          <c:val>
            <c:numRef>
              <c:f>PivotTables!$G$14:$G$18</c:f>
              <c:numCache>
                <c:formatCode>_(* #,##0_);_(* \(#,##0\);_(* "-"??_);_(@_)</c:formatCode>
                <c:ptCount val="5"/>
                <c:pt idx="0">
                  <c:v>28</c:v>
                </c:pt>
                <c:pt idx="1">
                  <c:v>110</c:v>
                </c:pt>
                <c:pt idx="2">
                  <c:v>104</c:v>
                </c:pt>
                <c:pt idx="3">
                  <c:v>123</c:v>
                </c:pt>
                <c:pt idx="4">
                  <c:v>122</c:v>
                </c:pt>
              </c:numCache>
            </c:numRef>
          </c:val>
          <c:extLst>
            <c:ext xmlns:c16="http://schemas.microsoft.com/office/drawing/2014/chart" uri="{C3380CC4-5D6E-409C-BE32-E72D297353CC}">
              <c16:uniqueId val="{00000000-5C69-C54D-B359-79FAAFCFE2AB}"/>
            </c:ext>
          </c:extLst>
        </c:ser>
        <c:dLbls>
          <c:showLegendKey val="0"/>
          <c:showVal val="0"/>
          <c:showCatName val="0"/>
          <c:showSerName val="0"/>
          <c:showPercent val="0"/>
          <c:showBubbleSize val="0"/>
        </c:dLbls>
        <c:gapWidth val="60"/>
        <c:axId val="1042939903"/>
        <c:axId val="1042940351"/>
      </c:barChart>
      <c:catAx>
        <c:axId val="1042939903"/>
        <c:scaling>
          <c:orientation val="minMax"/>
        </c:scaling>
        <c:delete val="1"/>
        <c:axPos val="b"/>
        <c:numFmt formatCode="General" sourceLinked="1"/>
        <c:majorTickMark val="none"/>
        <c:minorTickMark val="none"/>
        <c:tickLblPos val="nextTo"/>
        <c:crossAx val="1042940351"/>
        <c:crosses val="autoZero"/>
        <c:auto val="1"/>
        <c:lblAlgn val="ctr"/>
        <c:lblOffset val="100"/>
        <c:noMultiLvlLbl val="0"/>
      </c:catAx>
      <c:valAx>
        <c:axId val="1042940351"/>
        <c:scaling>
          <c:orientation val="minMax"/>
        </c:scaling>
        <c:delete val="1"/>
        <c:axPos val="l"/>
        <c:majorGridlines>
          <c:spPr>
            <a:ln w="9525" cap="flat" cmpd="sng" algn="ctr">
              <a:solidFill>
                <a:schemeClr val="accent2">
                  <a:lumMod val="75000"/>
                  <a:alpha val="74931"/>
                </a:schemeClr>
              </a:solidFill>
              <a:prstDash val="dashDot"/>
              <a:round/>
            </a:ln>
            <a:effectLst/>
          </c:spPr>
        </c:majorGridlines>
        <c:numFmt formatCode="_(* #,##0_);_(* \(#,##0\);_(* &quot;-&quot;??_);_(@_)" sourceLinked="1"/>
        <c:majorTickMark val="none"/>
        <c:minorTickMark val="none"/>
        <c:tickLblPos val="nextTo"/>
        <c:crossAx val="1042939903"/>
        <c:crosses val="autoZero"/>
        <c:crossBetween val="between"/>
      </c:valAx>
      <c:spPr>
        <a:noFill/>
        <a:ln>
          <a:noFill/>
          <a:prstDash val="solid"/>
        </a:ln>
        <a:effectLst/>
      </c:spPr>
    </c:plotArea>
    <c:plotVisOnly val="1"/>
    <c:dispBlanksAs val="gap"/>
    <c:showDLblsOverMax val="0"/>
  </c:chart>
  <c:spPr>
    <a:noFill/>
    <a:ln w="9525" cap="flat" cmpd="sng" algn="ctr">
      <a:noFill/>
      <a:prstDash val="dashDot"/>
      <a:round/>
    </a:ln>
    <a:effectLst/>
  </c:spPr>
  <c:txPr>
    <a:bodyPr/>
    <a:lstStyle/>
    <a:p>
      <a:pPr>
        <a:defRPr>
          <a:ln>
            <a:noFill/>
          </a:ln>
          <a:no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PivotTables!$T$14:$T$18</c:f>
              <c:strCache>
                <c:ptCount val="5"/>
                <c:pt idx="0">
                  <c:v>Central</c:v>
                </c:pt>
                <c:pt idx="1">
                  <c:v>East</c:v>
                </c:pt>
                <c:pt idx="2">
                  <c:v>North</c:v>
                </c:pt>
                <c:pt idx="3">
                  <c:v>South</c:v>
                </c:pt>
                <c:pt idx="4">
                  <c:v>West</c:v>
                </c:pt>
              </c:strCache>
            </c:strRef>
          </c:cat>
          <c:val>
            <c:numRef>
              <c:f>PivotTables!$U$14:$U$18</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8E4F-9E4A-8FDF-620A1CC57C1B}"/>
            </c:ext>
          </c:extLst>
        </c:ser>
        <c:dLbls>
          <c:showLegendKey val="0"/>
          <c:showVal val="0"/>
          <c:showCatName val="0"/>
          <c:showSerName val="0"/>
          <c:showPercent val="0"/>
          <c:showBubbleSize val="0"/>
        </c:dLbls>
        <c:gapWidth val="25"/>
        <c:axId val="1052823487"/>
        <c:axId val="1095505151"/>
      </c:barChart>
      <c:catAx>
        <c:axId val="105282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095505151"/>
        <c:crosses val="autoZero"/>
        <c:auto val="1"/>
        <c:lblAlgn val="ctr"/>
        <c:lblOffset val="100"/>
        <c:noMultiLvlLbl val="0"/>
      </c:catAx>
      <c:valAx>
        <c:axId val="10955051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0528234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63499</xdr:colOff>
      <xdr:row>0</xdr:row>
      <xdr:rowOff>63500</xdr:rowOff>
    </xdr:from>
    <xdr:to>
      <xdr:col>21</xdr:col>
      <xdr:colOff>514635</xdr:colOff>
      <xdr:row>46</xdr:row>
      <xdr:rowOff>50800</xdr:rowOff>
    </xdr:to>
    <xdr:sp macro="" textlink="">
      <xdr:nvSpPr>
        <xdr:cNvPr id="2" name="Rounded Rectangle 1">
          <a:extLst>
            <a:ext uri="{FF2B5EF4-FFF2-40B4-BE49-F238E27FC236}">
              <a16:creationId xmlns:a16="http://schemas.microsoft.com/office/drawing/2014/main" id="{5B60653F-EDCA-DE38-1E69-9E54D5D47633}"/>
            </a:ext>
          </a:extLst>
        </xdr:cNvPr>
        <xdr:cNvSpPr>
          <a:spLocks noChangeAspect="1"/>
        </xdr:cNvSpPr>
      </xdr:nvSpPr>
      <xdr:spPr>
        <a:xfrm>
          <a:off x="63499" y="63500"/>
          <a:ext cx="17786636" cy="8166100"/>
        </a:xfrm>
        <a:prstGeom prst="roundRect">
          <a:avLst>
            <a:gd name="adj" fmla="val 811"/>
          </a:avLst>
        </a:prstGeom>
        <a:solidFill>
          <a:srgbClr val="0C2E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241300</xdr:colOff>
      <xdr:row>29</xdr:row>
      <xdr:rowOff>152400</xdr:rowOff>
    </xdr:from>
    <xdr:to>
      <xdr:col>4</xdr:col>
      <xdr:colOff>322580</xdr:colOff>
      <xdr:row>45</xdr:row>
      <xdr:rowOff>50800</xdr:rowOff>
    </xdr:to>
    <xdr:sp macro="" textlink="">
      <xdr:nvSpPr>
        <xdr:cNvPr id="3" name="Rounded Rectangle 2">
          <a:extLst>
            <a:ext uri="{FF2B5EF4-FFF2-40B4-BE49-F238E27FC236}">
              <a16:creationId xmlns:a16="http://schemas.microsoft.com/office/drawing/2014/main" id="{4A99F3EF-2EA6-0C83-0BB4-483ECF608134}"/>
            </a:ext>
          </a:extLst>
        </xdr:cNvPr>
        <xdr:cNvSpPr>
          <a:spLocks noChangeAspect="1"/>
        </xdr:cNvSpPr>
      </xdr:nvSpPr>
      <xdr:spPr>
        <a:xfrm>
          <a:off x="241300" y="5308600"/>
          <a:ext cx="3383280" cy="274320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241300</xdr:colOff>
      <xdr:row>7</xdr:row>
      <xdr:rowOff>101600</xdr:rowOff>
    </xdr:from>
    <xdr:to>
      <xdr:col>4</xdr:col>
      <xdr:colOff>322580</xdr:colOff>
      <xdr:row>29</xdr:row>
      <xdr:rowOff>30480</xdr:rowOff>
    </xdr:to>
    <xdr:sp macro="" textlink="">
      <xdr:nvSpPr>
        <xdr:cNvPr id="4" name="Rounded Rectangle 3">
          <a:extLst>
            <a:ext uri="{FF2B5EF4-FFF2-40B4-BE49-F238E27FC236}">
              <a16:creationId xmlns:a16="http://schemas.microsoft.com/office/drawing/2014/main" id="{215F3AC7-8258-4943-9552-DC8FB2A46364}"/>
            </a:ext>
          </a:extLst>
        </xdr:cNvPr>
        <xdr:cNvSpPr>
          <a:spLocks noChangeAspect="1"/>
        </xdr:cNvSpPr>
      </xdr:nvSpPr>
      <xdr:spPr>
        <a:xfrm>
          <a:off x="241300" y="1346200"/>
          <a:ext cx="3383280" cy="384048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50800</xdr:colOff>
      <xdr:row>26</xdr:row>
      <xdr:rowOff>45720</xdr:rowOff>
    </xdr:from>
    <xdr:to>
      <xdr:col>9</xdr:col>
      <xdr:colOff>406400</xdr:colOff>
      <xdr:row>45</xdr:row>
      <xdr:rowOff>50800</xdr:rowOff>
    </xdr:to>
    <xdr:sp macro="" textlink="">
      <xdr:nvSpPr>
        <xdr:cNvPr id="5" name="Rounded Rectangle 4">
          <a:extLst>
            <a:ext uri="{FF2B5EF4-FFF2-40B4-BE49-F238E27FC236}">
              <a16:creationId xmlns:a16="http://schemas.microsoft.com/office/drawing/2014/main" id="{D16021AA-C942-EC4D-9EE8-93F6D905496F}"/>
            </a:ext>
          </a:extLst>
        </xdr:cNvPr>
        <xdr:cNvSpPr>
          <a:spLocks noChangeAspect="1"/>
        </xdr:cNvSpPr>
      </xdr:nvSpPr>
      <xdr:spPr>
        <a:xfrm>
          <a:off x="4178300" y="4668520"/>
          <a:ext cx="3657600" cy="338328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50800</xdr:colOff>
      <xdr:row>15</xdr:row>
      <xdr:rowOff>114300</xdr:rowOff>
    </xdr:from>
    <xdr:to>
      <xdr:col>7</xdr:col>
      <xdr:colOff>137160</xdr:colOff>
      <xdr:row>24</xdr:row>
      <xdr:rowOff>68580</xdr:rowOff>
    </xdr:to>
    <xdr:sp macro="" textlink="">
      <xdr:nvSpPr>
        <xdr:cNvPr id="8" name="Rounded Rectangle 7">
          <a:extLst>
            <a:ext uri="{FF2B5EF4-FFF2-40B4-BE49-F238E27FC236}">
              <a16:creationId xmlns:a16="http://schemas.microsoft.com/office/drawing/2014/main" id="{BD29C5BC-A8DB-9045-8C08-5DBFA67CC545}"/>
            </a:ext>
          </a:extLst>
        </xdr:cNvPr>
        <xdr:cNvSpPr>
          <a:spLocks noChangeAspect="1"/>
        </xdr:cNvSpPr>
      </xdr:nvSpPr>
      <xdr:spPr>
        <a:xfrm>
          <a:off x="4178300" y="2781300"/>
          <a:ext cx="1737360" cy="1554480"/>
        </a:xfrm>
        <a:prstGeom prst="roundRect">
          <a:avLst>
            <a:gd name="adj" fmla="val 14489"/>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215900</xdr:colOff>
      <xdr:row>26</xdr:row>
      <xdr:rowOff>45720</xdr:rowOff>
    </xdr:from>
    <xdr:to>
      <xdr:col>14</xdr:col>
      <xdr:colOff>571500</xdr:colOff>
      <xdr:row>45</xdr:row>
      <xdr:rowOff>50800</xdr:rowOff>
    </xdr:to>
    <xdr:sp macro="" textlink="">
      <xdr:nvSpPr>
        <xdr:cNvPr id="14" name="Rounded Rectangle 13">
          <a:extLst>
            <a:ext uri="{FF2B5EF4-FFF2-40B4-BE49-F238E27FC236}">
              <a16:creationId xmlns:a16="http://schemas.microsoft.com/office/drawing/2014/main" id="{6C4FD04F-0F79-5140-9F35-153BA2571932}"/>
            </a:ext>
          </a:extLst>
        </xdr:cNvPr>
        <xdr:cNvSpPr>
          <a:spLocks noChangeAspect="1"/>
        </xdr:cNvSpPr>
      </xdr:nvSpPr>
      <xdr:spPr>
        <a:xfrm>
          <a:off x="8470900" y="4668520"/>
          <a:ext cx="3657600" cy="338328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317500</xdr:colOff>
      <xdr:row>15</xdr:row>
      <xdr:rowOff>114300</xdr:rowOff>
    </xdr:from>
    <xdr:to>
      <xdr:col>9</xdr:col>
      <xdr:colOff>403860</xdr:colOff>
      <xdr:row>24</xdr:row>
      <xdr:rowOff>68580</xdr:rowOff>
    </xdr:to>
    <xdr:sp macro="" textlink="">
      <xdr:nvSpPr>
        <xdr:cNvPr id="15" name="Rounded Rectangle 14">
          <a:extLst>
            <a:ext uri="{FF2B5EF4-FFF2-40B4-BE49-F238E27FC236}">
              <a16:creationId xmlns:a16="http://schemas.microsoft.com/office/drawing/2014/main" id="{513D7A84-84E4-0E4E-91CD-CC4FE7A20361}"/>
            </a:ext>
          </a:extLst>
        </xdr:cNvPr>
        <xdr:cNvSpPr>
          <a:spLocks noChangeAspect="1"/>
        </xdr:cNvSpPr>
      </xdr:nvSpPr>
      <xdr:spPr>
        <a:xfrm>
          <a:off x="6096000" y="2781300"/>
          <a:ext cx="1737360" cy="1554480"/>
        </a:xfrm>
        <a:prstGeom prst="roundRect">
          <a:avLst>
            <a:gd name="adj" fmla="val 13672"/>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63500</xdr:colOff>
      <xdr:row>7</xdr:row>
      <xdr:rowOff>88900</xdr:rowOff>
    </xdr:from>
    <xdr:to>
      <xdr:col>9</xdr:col>
      <xdr:colOff>406400</xdr:colOff>
      <xdr:row>15</xdr:row>
      <xdr:rowOff>30480</xdr:rowOff>
    </xdr:to>
    <xdr:sp macro="" textlink="">
      <xdr:nvSpPr>
        <xdr:cNvPr id="16" name="Rounded Rectangle 15">
          <a:extLst>
            <a:ext uri="{FF2B5EF4-FFF2-40B4-BE49-F238E27FC236}">
              <a16:creationId xmlns:a16="http://schemas.microsoft.com/office/drawing/2014/main" id="{80FAF0F4-58F9-1B4B-9A40-6BD76F23BF4C}"/>
            </a:ext>
          </a:extLst>
        </xdr:cNvPr>
        <xdr:cNvSpPr>
          <a:spLocks noChangeAspect="1"/>
        </xdr:cNvSpPr>
      </xdr:nvSpPr>
      <xdr:spPr>
        <a:xfrm>
          <a:off x="4191000" y="1333500"/>
          <a:ext cx="3644900" cy="1363980"/>
        </a:xfrm>
        <a:prstGeom prst="roundRect">
          <a:avLst>
            <a:gd name="adj" fmla="val 14489"/>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215900</xdr:colOff>
      <xdr:row>7</xdr:row>
      <xdr:rowOff>101600</xdr:rowOff>
    </xdr:from>
    <xdr:to>
      <xdr:col>14</xdr:col>
      <xdr:colOff>571500</xdr:colOff>
      <xdr:row>24</xdr:row>
      <xdr:rowOff>101600</xdr:rowOff>
    </xdr:to>
    <xdr:sp macro="" textlink="">
      <xdr:nvSpPr>
        <xdr:cNvPr id="17" name="Rounded Rectangle 16">
          <a:extLst>
            <a:ext uri="{FF2B5EF4-FFF2-40B4-BE49-F238E27FC236}">
              <a16:creationId xmlns:a16="http://schemas.microsoft.com/office/drawing/2014/main" id="{769D37C9-B34E-5A4D-A3D9-1F9F8B8CB461}"/>
            </a:ext>
          </a:extLst>
        </xdr:cNvPr>
        <xdr:cNvSpPr>
          <a:spLocks noChangeAspect="1"/>
        </xdr:cNvSpPr>
      </xdr:nvSpPr>
      <xdr:spPr>
        <a:xfrm>
          <a:off x="8486908" y="1334247"/>
          <a:ext cx="3664004" cy="2993571"/>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latin typeface="Arial" panose="020B0604020202020204" pitchFamily="34" charset="0"/>
            <a:cs typeface="Arial" panose="020B0604020202020204" pitchFamily="34" charset="0"/>
          </a:endParaRPr>
        </a:p>
      </xdr:txBody>
    </xdr:sp>
    <xdr:clientData/>
  </xdr:twoCellAnchor>
  <xdr:twoCellAnchor>
    <xdr:from>
      <xdr:col>15</xdr:col>
      <xdr:colOff>469900</xdr:colOff>
      <xdr:row>35</xdr:row>
      <xdr:rowOff>0</xdr:rowOff>
    </xdr:from>
    <xdr:to>
      <xdr:col>18</xdr:col>
      <xdr:colOff>5080</xdr:colOff>
      <xdr:row>45</xdr:row>
      <xdr:rowOff>50800</xdr:rowOff>
    </xdr:to>
    <xdr:sp macro="" textlink="">
      <xdr:nvSpPr>
        <xdr:cNvPr id="18" name="Rounded Rectangle 17">
          <a:extLst>
            <a:ext uri="{FF2B5EF4-FFF2-40B4-BE49-F238E27FC236}">
              <a16:creationId xmlns:a16="http://schemas.microsoft.com/office/drawing/2014/main" id="{C3CBA95E-25C3-E94B-830B-C64412717012}"/>
            </a:ext>
          </a:extLst>
        </xdr:cNvPr>
        <xdr:cNvSpPr>
          <a:spLocks noChangeAspect="1"/>
        </xdr:cNvSpPr>
      </xdr:nvSpPr>
      <xdr:spPr>
        <a:xfrm>
          <a:off x="12852400" y="6223000"/>
          <a:ext cx="2011680" cy="182880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165100</xdr:colOff>
      <xdr:row>35</xdr:row>
      <xdr:rowOff>0</xdr:rowOff>
    </xdr:from>
    <xdr:to>
      <xdr:col>20</xdr:col>
      <xdr:colOff>525780</xdr:colOff>
      <xdr:row>45</xdr:row>
      <xdr:rowOff>50800</xdr:rowOff>
    </xdr:to>
    <xdr:sp macro="" textlink="">
      <xdr:nvSpPr>
        <xdr:cNvPr id="19" name="Rounded Rectangle 18">
          <a:extLst>
            <a:ext uri="{FF2B5EF4-FFF2-40B4-BE49-F238E27FC236}">
              <a16:creationId xmlns:a16="http://schemas.microsoft.com/office/drawing/2014/main" id="{C78B992F-66D2-AA4A-BFAB-9ED0CB09CE8A}"/>
            </a:ext>
          </a:extLst>
        </xdr:cNvPr>
        <xdr:cNvSpPr>
          <a:spLocks noChangeAspect="1"/>
        </xdr:cNvSpPr>
      </xdr:nvSpPr>
      <xdr:spPr>
        <a:xfrm>
          <a:off x="15024100" y="6223000"/>
          <a:ext cx="2011680" cy="182880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165100</xdr:colOff>
      <xdr:row>26</xdr:row>
      <xdr:rowOff>45720</xdr:rowOff>
    </xdr:from>
    <xdr:to>
      <xdr:col>20</xdr:col>
      <xdr:colOff>525780</xdr:colOff>
      <xdr:row>34</xdr:row>
      <xdr:rowOff>114300</xdr:rowOff>
    </xdr:to>
    <xdr:sp macro="" textlink="">
      <xdr:nvSpPr>
        <xdr:cNvPr id="20" name="Rounded Rectangle 19">
          <a:extLst>
            <a:ext uri="{FF2B5EF4-FFF2-40B4-BE49-F238E27FC236}">
              <a16:creationId xmlns:a16="http://schemas.microsoft.com/office/drawing/2014/main" id="{DF3FA8F6-374A-7347-9DAA-27FA9664D021}"/>
            </a:ext>
          </a:extLst>
        </xdr:cNvPr>
        <xdr:cNvSpPr>
          <a:spLocks noChangeAspect="1"/>
        </xdr:cNvSpPr>
      </xdr:nvSpPr>
      <xdr:spPr>
        <a:xfrm>
          <a:off x="15024100" y="4668520"/>
          <a:ext cx="2011680" cy="149098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457200</xdr:colOff>
      <xdr:row>12</xdr:row>
      <xdr:rowOff>34324</xdr:rowOff>
    </xdr:from>
    <xdr:to>
      <xdr:col>20</xdr:col>
      <xdr:colOff>533400</xdr:colOff>
      <xdr:row>23</xdr:row>
      <xdr:rowOff>116839</xdr:rowOff>
    </xdr:to>
    <xdr:sp macro="" textlink="">
      <xdr:nvSpPr>
        <xdr:cNvPr id="21" name="Rounded Rectangle 20">
          <a:extLst>
            <a:ext uri="{FF2B5EF4-FFF2-40B4-BE49-F238E27FC236}">
              <a16:creationId xmlns:a16="http://schemas.microsoft.com/office/drawing/2014/main" id="{A49A46B2-3675-5B47-9AE4-A0F7BC93B160}"/>
            </a:ext>
          </a:extLst>
        </xdr:cNvPr>
        <xdr:cNvSpPr>
          <a:spLocks noChangeAspect="1"/>
        </xdr:cNvSpPr>
      </xdr:nvSpPr>
      <xdr:spPr>
        <a:xfrm>
          <a:off x="12881113" y="2187802"/>
          <a:ext cx="4217504" cy="2056537"/>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457200</xdr:colOff>
      <xdr:row>1</xdr:row>
      <xdr:rowOff>50800</xdr:rowOff>
    </xdr:from>
    <xdr:to>
      <xdr:col>20</xdr:col>
      <xdr:colOff>533400</xdr:colOff>
      <xdr:row>11</xdr:row>
      <xdr:rowOff>101600</xdr:rowOff>
    </xdr:to>
    <xdr:sp macro="" textlink="">
      <xdr:nvSpPr>
        <xdr:cNvPr id="22" name="Rounded Rectangle 21">
          <a:extLst>
            <a:ext uri="{FF2B5EF4-FFF2-40B4-BE49-F238E27FC236}">
              <a16:creationId xmlns:a16="http://schemas.microsoft.com/office/drawing/2014/main" id="{09682304-8CF5-844A-9843-518D565F2DD2}"/>
            </a:ext>
          </a:extLst>
        </xdr:cNvPr>
        <xdr:cNvSpPr>
          <a:spLocks noChangeAspect="1"/>
        </xdr:cNvSpPr>
      </xdr:nvSpPr>
      <xdr:spPr>
        <a:xfrm>
          <a:off x="12839700" y="228600"/>
          <a:ext cx="4203700" cy="1828800"/>
        </a:xfrm>
        <a:prstGeom prst="roundRect">
          <a:avLst>
            <a:gd name="adj" fmla="val 468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183444</xdr:colOff>
      <xdr:row>26</xdr:row>
      <xdr:rowOff>56444</xdr:rowOff>
    </xdr:from>
    <xdr:to>
      <xdr:col>20</xdr:col>
      <xdr:colOff>536222</xdr:colOff>
      <xdr:row>31</xdr:row>
      <xdr:rowOff>1</xdr:rowOff>
    </xdr:to>
    <xdr:sp macro="" textlink="">
      <xdr:nvSpPr>
        <xdr:cNvPr id="23" name="TextBox 22">
          <a:extLst>
            <a:ext uri="{FF2B5EF4-FFF2-40B4-BE49-F238E27FC236}">
              <a16:creationId xmlns:a16="http://schemas.microsoft.com/office/drawing/2014/main" id="{B61AC2A7-46B4-667C-60E4-F7E810621D7E}"/>
            </a:ext>
          </a:extLst>
        </xdr:cNvPr>
        <xdr:cNvSpPr txBox="1">
          <a:spLocks noChangeAspect="1"/>
        </xdr:cNvSpPr>
      </xdr:nvSpPr>
      <xdr:spPr>
        <a:xfrm>
          <a:off x="15042444" y="4679244"/>
          <a:ext cx="2003778" cy="832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latin typeface="Arial" panose="020B0604020202020204" pitchFamily="34" charset="0"/>
              <a:cs typeface="Arial" panose="020B0604020202020204" pitchFamily="34" charset="0"/>
            </a:rPr>
            <a:t>PART</a:t>
          </a:r>
          <a:r>
            <a:rPr lang="en-US" sz="2000" b="1" baseline="0">
              <a:latin typeface="Arial" panose="020B0604020202020204" pitchFamily="34" charset="0"/>
              <a:cs typeface="Arial" panose="020B0604020202020204" pitchFamily="34" charset="0"/>
            </a:rPr>
            <a:t> TIME</a:t>
          </a:r>
        </a:p>
        <a:p>
          <a:r>
            <a:rPr lang="en-US" sz="2000" b="1" baseline="0">
              <a:latin typeface="Arial" panose="020B0604020202020204" pitchFamily="34" charset="0"/>
              <a:cs typeface="Arial" panose="020B0604020202020204" pitchFamily="34" charset="0"/>
            </a:rPr>
            <a:t>EMPLOYEES</a:t>
          </a:r>
          <a:endParaRPr lang="en-US" sz="2000" b="1">
            <a:latin typeface="Arial" panose="020B0604020202020204" pitchFamily="34" charset="0"/>
            <a:cs typeface="Arial" panose="020B0604020202020204" pitchFamily="34" charset="0"/>
          </a:endParaRPr>
        </a:p>
      </xdr:txBody>
    </xdr:sp>
    <xdr:clientData/>
  </xdr:twoCellAnchor>
  <xdr:twoCellAnchor>
    <xdr:from>
      <xdr:col>18</xdr:col>
      <xdr:colOff>165101</xdr:colOff>
      <xdr:row>29</xdr:row>
      <xdr:rowOff>167074</xdr:rowOff>
    </xdr:from>
    <xdr:to>
      <xdr:col>20</xdr:col>
      <xdr:colOff>517879</xdr:colOff>
      <xdr:row>34</xdr:row>
      <xdr:rowOff>110631</xdr:rowOff>
    </xdr:to>
    <xdr:sp macro="" textlink="PivotTables!C14">
      <xdr:nvSpPr>
        <xdr:cNvPr id="27" name="TextBox 26">
          <a:extLst>
            <a:ext uri="{FF2B5EF4-FFF2-40B4-BE49-F238E27FC236}">
              <a16:creationId xmlns:a16="http://schemas.microsoft.com/office/drawing/2014/main" id="{B9BFBD9B-B8B1-FB4D-A47A-674B7E56EDF4}"/>
            </a:ext>
          </a:extLst>
        </xdr:cNvPr>
        <xdr:cNvSpPr txBox="1">
          <a:spLocks noChangeAspect="1"/>
        </xdr:cNvSpPr>
      </xdr:nvSpPr>
      <xdr:spPr>
        <a:xfrm>
          <a:off x="15024101" y="5323274"/>
          <a:ext cx="2003778" cy="832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9D0C5D31-C78C-0543-9BED-F598268D0C72}" type="TxLink">
            <a:rPr lang="en-US" sz="7200" b="1" i="0" u="none" strike="noStrike">
              <a:solidFill>
                <a:srgbClr val="000000"/>
              </a:solidFill>
              <a:latin typeface="Arial" panose="020B0604020202020204" pitchFamily="34" charset="0"/>
              <a:cs typeface="Arial" panose="020B0604020202020204" pitchFamily="34" charset="0"/>
            </a:rPr>
            <a:pPr algn="r"/>
            <a:t>13</a:t>
          </a:fld>
          <a:endParaRPr lang="en-US" sz="13800" b="1">
            <a:latin typeface="Arial" panose="020B0604020202020204" pitchFamily="34" charset="0"/>
            <a:cs typeface="Arial" panose="020B0604020202020204" pitchFamily="34" charset="0"/>
          </a:endParaRPr>
        </a:p>
      </xdr:txBody>
    </xdr:sp>
    <xdr:clientData/>
  </xdr:twoCellAnchor>
  <xdr:twoCellAnchor>
    <xdr:from>
      <xdr:col>18</xdr:col>
      <xdr:colOff>166512</xdr:colOff>
      <xdr:row>35</xdr:row>
      <xdr:rowOff>25402</xdr:rowOff>
    </xdr:from>
    <xdr:to>
      <xdr:col>20</xdr:col>
      <xdr:colOff>519290</xdr:colOff>
      <xdr:row>41</xdr:row>
      <xdr:rowOff>19755</xdr:rowOff>
    </xdr:to>
    <xdr:sp macro="" textlink="">
      <xdr:nvSpPr>
        <xdr:cNvPr id="28" name="TextBox 27">
          <a:extLst>
            <a:ext uri="{FF2B5EF4-FFF2-40B4-BE49-F238E27FC236}">
              <a16:creationId xmlns:a16="http://schemas.microsoft.com/office/drawing/2014/main" id="{05CEA175-26E7-FE40-BB89-4B94C84BCD19}"/>
            </a:ext>
          </a:extLst>
        </xdr:cNvPr>
        <xdr:cNvSpPr txBox="1">
          <a:spLocks noChangeAspect="1"/>
        </xdr:cNvSpPr>
      </xdr:nvSpPr>
      <xdr:spPr>
        <a:xfrm>
          <a:off x="15025512" y="6248402"/>
          <a:ext cx="2003778" cy="10611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baseline="0">
              <a:latin typeface="Arial" panose="020B0604020202020204" pitchFamily="34" charset="0"/>
              <a:cs typeface="Arial" panose="020B0604020202020204" pitchFamily="34" charset="0"/>
            </a:rPr>
            <a:t>FULL</a:t>
          </a:r>
        </a:p>
        <a:p>
          <a:r>
            <a:rPr lang="en-US" sz="2000" b="1" baseline="0">
              <a:latin typeface="Arial" panose="020B0604020202020204" pitchFamily="34" charset="0"/>
              <a:cs typeface="Arial" panose="020B0604020202020204" pitchFamily="34" charset="0"/>
            </a:rPr>
            <a:t>TIME</a:t>
          </a:r>
        </a:p>
        <a:p>
          <a:r>
            <a:rPr lang="en-US" sz="2000" b="1" baseline="0">
              <a:latin typeface="Arial" panose="020B0604020202020204" pitchFamily="34" charset="0"/>
              <a:cs typeface="Arial" panose="020B0604020202020204" pitchFamily="34" charset="0"/>
            </a:rPr>
            <a:t>EMPLOYEES</a:t>
          </a:r>
          <a:endParaRPr lang="en-US" sz="2000" b="1">
            <a:latin typeface="Arial" panose="020B0604020202020204" pitchFamily="34" charset="0"/>
            <a:cs typeface="Arial" panose="020B0604020202020204" pitchFamily="34" charset="0"/>
          </a:endParaRPr>
        </a:p>
      </xdr:txBody>
    </xdr:sp>
    <xdr:clientData/>
  </xdr:twoCellAnchor>
  <xdr:twoCellAnchor>
    <xdr:from>
      <xdr:col>18</xdr:col>
      <xdr:colOff>176391</xdr:colOff>
      <xdr:row>40</xdr:row>
      <xdr:rowOff>37254</xdr:rowOff>
    </xdr:from>
    <xdr:to>
      <xdr:col>20</xdr:col>
      <xdr:colOff>529169</xdr:colOff>
      <xdr:row>44</xdr:row>
      <xdr:rowOff>158611</xdr:rowOff>
    </xdr:to>
    <xdr:sp macro="" textlink="PivotTables!C13">
      <xdr:nvSpPr>
        <xdr:cNvPr id="29" name="TextBox 28">
          <a:extLst>
            <a:ext uri="{FF2B5EF4-FFF2-40B4-BE49-F238E27FC236}">
              <a16:creationId xmlns:a16="http://schemas.microsoft.com/office/drawing/2014/main" id="{9A101070-B238-4B4C-95C5-782DAA9CD792}"/>
            </a:ext>
          </a:extLst>
        </xdr:cNvPr>
        <xdr:cNvSpPr txBox="1">
          <a:spLocks noChangeAspect="1"/>
        </xdr:cNvSpPr>
      </xdr:nvSpPr>
      <xdr:spPr>
        <a:xfrm>
          <a:off x="15035391" y="7149254"/>
          <a:ext cx="2003778" cy="832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40DEC02D-E90E-C941-A9D6-87DAC0029135}" type="TxLink">
            <a:rPr lang="en-US" sz="7200" b="1" i="0" u="none" strike="noStrike">
              <a:solidFill>
                <a:srgbClr val="000000"/>
              </a:solidFill>
              <a:latin typeface="Arial" panose="020B0604020202020204" pitchFamily="34" charset="0"/>
              <a:cs typeface="Arial" panose="020B0604020202020204" pitchFamily="34" charset="0"/>
            </a:rPr>
            <a:t>20</a:t>
          </a:fld>
          <a:endParaRPr lang="en-US" sz="231500" b="1">
            <a:latin typeface="Arial" panose="020B0604020202020204" pitchFamily="34" charset="0"/>
            <a:cs typeface="Arial" panose="020B0604020202020204" pitchFamily="34" charset="0"/>
          </a:endParaRPr>
        </a:p>
      </xdr:txBody>
    </xdr:sp>
    <xdr:clientData/>
  </xdr:twoCellAnchor>
  <xdr:twoCellAnchor>
    <xdr:from>
      <xdr:col>15</xdr:col>
      <xdr:colOff>474138</xdr:colOff>
      <xdr:row>35</xdr:row>
      <xdr:rowOff>22581</xdr:rowOff>
    </xdr:from>
    <xdr:to>
      <xdr:col>18</xdr:col>
      <xdr:colOff>1416</xdr:colOff>
      <xdr:row>40</xdr:row>
      <xdr:rowOff>155222</xdr:rowOff>
    </xdr:to>
    <xdr:sp macro="" textlink="">
      <xdr:nvSpPr>
        <xdr:cNvPr id="30" name="TextBox 29">
          <a:extLst>
            <a:ext uri="{FF2B5EF4-FFF2-40B4-BE49-F238E27FC236}">
              <a16:creationId xmlns:a16="http://schemas.microsoft.com/office/drawing/2014/main" id="{99CEA0B0-4787-E943-A64D-C80BCD26A46D}"/>
            </a:ext>
          </a:extLst>
        </xdr:cNvPr>
        <xdr:cNvSpPr txBox="1">
          <a:spLocks noChangeAspect="1"/>
        </xdr:cNvSpPr>
      </xdr:nvSpPr>
      <xdr:spPr>
        <a:xfrm>
          <a:off x="12856638" y="6245581"/>
          <a:ext cx="2003778" cy="1021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baseline="0">
              <a:latin typeface="Arial" panose="020B0604020202020204" pitchFamily="34" charset="0"/>
              <a:cs typeface="Arial" panose="020B0604020202020204" pitchFamily="34" charset="0"/>
            </a:rPr>
            <a:t>EMPLOYEES</a:t>
          </a:r>
        </a:p>
        <a:p>
          <a:r>
            <a:rPr lang="en-US" sz="2000" b="1" baseline="0">
              <a:latin typeface="Arial" panose="020B0604020202020204" pitchFamily="34" charset="0"/>
              <a:cs typeface="Arial" panose="020B0604020202020204" pitchFamily="34" charset="0"/>
            </a:rPr>
            <a:t>WITH</a:t>
          </a:r>
        </a:p>
        <a:p>
          <a:r>
            <a:rPr lang="en-US" sz="2000" b="1" baseline="0">
              <a:latin typeface="Arial" panose="020B0604020202020204" pitchFamily="34" charset="0"/>
              <a:cs typeface="Arial" panose="020B0604020202020204" pitchFamily="34" charset="0"/>
            </a:rPr>
            <a:t>CONTRACTS</a:t>
          </a:r>
          <a:endParaRPr lang="en-US" sz="2000" b="1">
            <a:latin typeface="Arial" panose="020B0604020202020204" pitchFamily="34" charset="0"/>
            <a:cs typeface="Arial" panose="020B0604020202020204" pitchFamily="34" charset="0"/>
          </a:endParaRPr>
        </a:p>
      </xdr:txBody>
    </xdr:sp>
    <xdr:clientData/>
  </xdr:twoCellAnchor>
  <xdr:twoCellAnchor>
    <xdr:from>
      <xdr:col>15</xdr:col>
      <xdr:colOff>484017</xdr:colOff>
      <xdr:row>40</xdr:row>
      <xdr:rowOff>62655</xdr:rowOff>
    </xdr:from>
    <xdr:to>
      <xdr:col>18</xdr:col>
      <xdr:colOff>11295</xdr:colOff>
      <xdr:row>45</xdr:row>
      <xdr:rowOff>6212</xdr:rowOff>
    </xdr:to>
    <xdr:sp macro="" textlink="PivotTables!C12">
      <xdr:nvSpPr>
        <xdr:cNvPr id="31" name="TextBox 30">
          <a:extLst>
            <a:ext uri="{FF2B5EF4-FFF2-40B4-BE49-F238E27FC236}">
              <a16:creationId xmlns:a16="http://schemas.microsoft.com/office/drawing/2014/main" id="{951FBD79-0AFC-4B44-8B95-E00DAAC9C54A}"/>
            </a:ext>
          </a:extLst>
        </xdr:cNvPr>
        <xdr:cNvSpPr txBox="1">
          <a:spLocks noChangeAspect="1"/>
        </xdr:cNvSpPr>
      </xdr:nvSpPr>
      <xdr:spPr>
        <a:xfrm>
          <a:off x="12866517" y="7174655"/>
          <a:ext cx="2003778" cy="832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6B76EBE4-E223-924C-A7D2-E1BDEAEFE6A5}" type="TxLink">
            <a:rPr lang="en-US" sz="7200" b="1" i="0" u="none" strike="noStrike">
              <a:solidFill>
                <a:srgbClr val="000000"/>
              </a:solidFill>
              <a:latin typeface="Arial" panose="020B0604020202020204" pitchFamily="34" charset="0"/>
              <a:cs typeface="Arial" panose="020B0604020202020204" pitchFamily="34" charset="0"/>
            </a:rPr>
            <a:t>17</a:t>
          </a:fld>
          <a:endParaRPr lang="en-US" sz="333300" b="1">
            <a:latin typeface="Arial" panose="020B0604020202020204" pitchFamily="34" charset="0"/>
            <a:cs typeface="Arial" panose="020B0604020202020204" pitchFamily="34" charset="0"/>
          </a:endParaRPr>
        </a:p>
      </xdr:txBody>
    </xdr:sp>
    <xdr:clientData/>
  </xdr:twoCellAnchor>
  <xdr:twoCellAnchor>
    <xdr:from>
      <xdr:col>10</xdr:col>
      <xdr:colOff>221832</xdr:colOff>
      <xdr:row>32</xdr:row>
      <xdr:rowOff>53618</xdr:rowOff>
    </xdr:from>
    <xdr:to>
      <xdr:col>14</xdr:col>
      <xdr:colOff>563321</xdr:colOff>
      <xdr:row>34</xdr:row>
      <xdr:rowOff>11284</xdr:rowOff>
    </xdr:to>
    <xdr:sp macro="" textlink="">
      <xdr:nvSpPr>
        <xdr:cNvPr id="33" name="TextBox 32">
          <a:extLst>
            <a:ext uri="{FF2B5EF4-FFF2-40B4-BE49-F238E27FC236}">
              <a16:creationId xmlns:a16="http://schemas.microsoft.com/office/drawing/2014/main" id="{FAC109FE-9DFD-4E43-B4E3-7B943A43A239}"/>
            </a:ext>
          </a:extLst>
        </xdr:cNvPr>
        <xdr:cNvSpPr txBox="1">
          <a:spLocks noChangeAspect="1"/>
        </xdr:cNvSpPr>
      </xdr:nvSpPr>
      <xdr:spPr>
        <a:xfrm>
          <a:off x="8476832" y="5743218"/>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600" b="1">
              <a:latin typeface="Arial" panose="020B0604020202020204" pitchFamily="34" charset="0"/>
              <a:cs typeface="Arial" panose="020B0604020202020204" pitchFamily="34" charset="0"/>
            </a:rPr>
            <a:t>TOTAL</a:t>
          </a:r>
          <a:r>
            <a:rPr lang="en-US" sz="1600" b="1" baseline="0">
              <a:latin typeface="Arial" panose="020B0604020202020204" pitchFamily="34" charset="0"/>
              <a:cs typeface="Arial" panose="020B0604020202020204" pitchFamily="34" charset="0"/>
            </a:rPr>
            <a:t> SALARIES</a:t>
          </a:r>
          <a:endParaRPr lang="en-US" sz="1600" b="1">
            <a:latin typeface="Arial" panose="020B0604020202020204" pitchFamily="34" charset="0"/>
            <a:cs typeface="Arial" panose="020B0604020202020204" pitchFamily="34" charset="0"/>
          </a:endParaRPr>
        </a:p>
      </xdr:txBody>
    </xdr:sp>
    <xdr:clientData/>
  </xdr:twoCellAnchor>
  <xdr:twoCellAnchor>
    <xdr:from>
      <xdr:col>10</xdr:col>
      <xdr:colOff>221832</xdr:colOff>
      <xdr:row>34</xdr:row>
      <xdr:rowOff>93129</xdr:rowOff>
    </xdr:from>
    <xdr:to>
      <xdr:col>14</xdr:col>
      <xdr:colOff>563321</xdr:colOff>
      <xdr:row>36</xdr:row>
      <xdr:rowOff>50795</xdr:rowOff>
    </xdr:to>
    <xdr:sp macro="" textlink="PivotTables!E18">
      <xdr:nvSpPr>
        <xdr:cNvPr id="34" name="TextBox 33">
          <a:extLst>
            <a:ext uri="{FF2B5EF4-FFF2-40B4-BE49-F238E27FC236}">
              <a16:creationId xmlns:a16="http://schemas.microsoft.com/office/drawing/2014/main" id="{B9EE2EC5-22F7-4A41-B43C-4BBB25180054}"/>
            </a:ext>
          </a:extLst>
        </xdr:cNvPr>
        <xdr:cNvSpPr txBox="1">
          <a:spLocks noChangeAspect="1"/>
        </xdr:cNvSpPr>
      </xdr:nvSpPr>
      <xdr:spPr>
        <a:xfrm>
          <a:off x="8476832" y="6138329"/>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D86C5DD0-5DB6-9240-8DD2-58619CB12AC3}" type="TxLink">
            <a:rPr lang="en-US" sz="1600" b="1" i="0" u="none" strike="noStrike">
              <a:solidFill>
                <a:srgbClr val="000000"/>
              </a:solidFill>
              <a:latin typeface="Arial" panose="020B0604020202020204" pitchFamily="34" charset="0"/>
              <a:cs typeface="Arial" panose="020B0604020202020204" pitchFamily="34" charset="0"/>
            </a:rPr>
            <a:t>Manager</a:t>
          </a:fld>
          <a:endParaRPr lang="en-US" sz="1800" b="1">
            <a:latin typeface="Arial" panose="020B0604020202020204" pitchFamily="34" charset="0"/>
            <a:cs typeface="Arial" panose="020B0604020202020204" pitchFamily="34" charset="0"/>
          </a:endParaRPr>
        </a:p>
      </xdr:txBody>
    </xdr:sp>
    <xdr:clientData/>
  </xdr:twoCellAnchor>
  <xdr:twoCellAnchor>
    <xdr:from>
      <xdr:col>10</xdr:col>
      <xdr:colOff>221832</xdr:colOff>
      <xdr:row>36</xdr:row>
      <xdr:rowOff>76196</xdr:rowOff>
    </xdr:from>
    <xdr:to>
      <xdr:col>14</xdr:col>
      <xdr:colOff>563321</xdr:colOff>
      <xdr:row>38</xdr:row>
      <xdr:rowOff>33862</xdr:rowOff>
    </xdr:to>
    <xdr:sp macro="" textlink="PivotTables!E17">
      <xdr:nvSpPr>
        <xdr:cNvPr id="35" name="TextBox 34">
          <a:extLst>
            <a:ext uri="{FF2B5EF4-FFF2-40B4-BE49-F238E27FC236}">
              <a16:creationId xmlns:a16="http://schemas.microsoft.com/office/drawing/2014/main" id="{BB41571F-1C38-174D-B10A-D3FAD4F5EDD4}"/>
            </a:ext>
          </a:extLst>
        </xdr:cNvPr>
        <xdr:cNvSpPr txBox="1">
          <a:spLocks noChangeAspect="1"/>
        </xdr:cNvSpPr>
      </xdr:nvSpPr>
      <xdr:spPr>
        <a:xfrm>
          <a:off x="8476832" y="6476996"/>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1881DAA9-0F02-F44C-BAFF-E7CE064011C6}" type="TxLink">
            <a:rPr lang="en-US" sz="1600" b="1" i="0" u="none" strike="noStrike">
              <a:solidFill>
                <a:srgbClr val="000000"/>
              </a:solidFill>
              <a:latin typeface="Arial" panose="020B0604020202020204" pitchFamily="34" charset="0"/>
              <a:cs typeface="Arial" panose="020B0604020202020204" pitchFamily="34" charset="0"/>
            </a:rPr>
            <a:t>HR Specialist</a:t>
          </a:fld>
          <a:endParaRPr lang="en-US" sz="1800" b="1">
            <a:latin typeface="Arial" panose="020B0604020202020204" pitchFamily="34" charset="0"/>
            <a:cs typeface="Arial" panose="020B0604020202020204" pitchFamily="34" charset="0"/>
          </a:endParaRPr>
        </a:p>
      </xdr:txBody>
    </xdr:sp>
    <xdr:clientData/>
  </xdr:twoCellAnchor>
  <xdr:twoCellAnchor>
    <xdr:from>
      <xdr:col>10</xdr:col>
      <xdr:colOff>221832</xdr:colOff>
      <xdr:row>38</xdr:row>
      <xdr:rowOff>61166</xdr:rowOff>
    </xdr:from>
    <xdr:to>
      <xdr:col>14</xdr:col>
      <xdr:colOff>563321</xdr:colOff>
      <xdr:row>40</xdr:row>
      <xdr:rowOff>18832</xdr:rowOff>
    </xdr:to>
    <xdr:sp macro="" textlink="PivotTables!E16">
      <xdr:nvSpPr>
        <xdr:cNvPr id="36" name="TextBox 35">
          <a:extLst>
            <a:ext uri="{FF2B5EF4-FFF2-40B4-BE49-F238E27FC236}">
              <a16:creationId xmlns:a16="http://schemas.microsoft.com/office/drawing/2014/main" id="{DEBEFBAA-A325-5749-AF6F-FEC294E2F5DE}"/>
            </a:ext>
          </a:extLst>
        </xdr:cNvPr>
        <xdr:cNvSpPr txBox="1">
          <a:spLocks noChangeAspect="1"/>
        </xdr:cNvSpPr>
      </xdr:nvSpPr>
      <xdr:spPr>
        <a:xfrm>
          <a:off x="8476832" y="6817566"/>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1E5C31A3-A0B5-7142-AE0B-9776C5C0ACFE}" type="TxLink">
            <a:rPr lang="en-US" sz="1600" b="1" i="0" u="none" strike="noStrike">
              <a:solidFill>
                <a:srgbClr val="000000"/>
              </a:solidFill>
              <a:latin typeface="Arial" panose="020B0604020202020204" pitchFamily="34" charset="0"/>
              <a:cs typeface="Arial" panose="020B0604020202020204" pitchFamily="34" charset="0"/>
            </a:rPr>
            <a:t>Developer</a:t>
          </a:fld>
          <a:endParaRPr lang="en-US" sz="1800" b="1">
            <a:latin typeface="Arial" panose="020B0604020202020204" pitchFamily="34" charset="0"/>
            <a:cs typeface="Arial" panose="020B0604020202020204" pitchFamily="34" charset="0"/>
          </a:endParaRPr>
        </a:p>
      </xdr:txBody>
    </xdr:sp>
    <xdr:clientData/>
  </xdr:twoCellAnchor>
  <xdr:twoCellAnchor>
    <xdr:from>
      <xdr:col>10</xdr:col>
      <xdr:colOff>221832</xdr:colOff>
      <xdr:row>40</xdr:row>
      <xdr:rowOff>52230</xdr:rowOff>
    </xdr:from>
    <xdr:to>
      <xdr:col>14</xdr:col>
      <xdr:colOff>563321</xdr:colOff>
      <xdr:row>42</xdr:row>
      <xdr:rowOff>9896</xdr:rowOff>
    </xdr:to>
    <xdr:sp macro="" textlink="PivotTables!E15">
      <xdr:nvSpPr>
        <xdr:cNvPr id="37" name="TextBox 36">
          <a:extLst>
            <a:ext uri="{FF2B5EF4-FFF2-40B4-BE49-F238E27FC236}">
              <a16:creationId xmlns:a16="http://schemas.microsoft.com/office/drawing/2014/main" id="{B092F235-2859-8745-86A9-77F538352F47}"/>
            </a:ext>
          </a:extLst>
        </xdr:cNvPr>
        <xdr:cNvSpPr txBox="1">
          <a:spLocks noChangeAspect="1"/>
        </xdr:cNvSpPr>
      </xdr:nvSpPr>
      <xdr:spPr>
        <a:xfrm>
          <a:off x="8476832" y="7164230"/>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C26F09AB-327A-4D46-B39C-31799A461BFD}" type="TxLink">
            <a:rPr lang="en-US" sz="1600" b="1" i="0" u="none" strike="noStrike">
              <a:solidFill>
                <a:srgbClr val="000000"/>
              </a:solidFill>
              <a:latin typeface="Arial" panose="020B0604020202020204" pitchFamily="34" charset="0"/>
              <a:cs typeface="Arial" panose="020B0604020202020204" pitchFamily="34" charset="0"/>
            </a:rPr>
            <a:t>Designer</a:t>
          </a:fld>
          <a:endParaRPr lang="en-US" sz="1800" b="1">
            <a:latin typeface="Arial" panose="020B0604020202020204" pitchFamily="34" charset="0"/>
            <a:cs typeface="Arial" panose="020B0604020202020204" pitchFamily="34" charset="0"/>
          </a:endParaRPr>
        </a:p>
      </xdr:txBody>
    </xdr:sp>
    <xdr:clientData/>
  </xdr:twoCellAnchor>
  <xdr:twoCellAnchor>
    <xdr:from>
      <xdr:col>10</xdr:col>
      <xdr:colOff>221832</xdr:colOff>
      <xdr:row>42</xdr:row>
      <xdr:rowOff>30883</xdr:rowOff>
    </xdr:from>
    <xdr:to>
      <xdr:col>14</xdr:col>
      <xdr:colOff>563321</xdr:colOff>
      <xdr:row>43</xdr:row>
      <xdr:rowOff>166349</xdr:rowOff>
    </xdr:to>
    <xdr:sp macro="" textlink="PivotTables!E14">
      <xdr:nvSpPr>
        <xdr:cNvPr id="38" name="TextBox 37">
          <a:extLst>
            <a:ext uri="{FF2B5EF4-FFF2-40B4-BE49-F238E27FC236}">
              <a16:creationId xmlns:a16="http://schemas.microsoft.com/office/drawing/2014/main" id="{90BE57CF-C048-F241-9B91-D161A3B22869}"/>
            </a:ext>
          </a:extLst>
        </xdr:cNvPr>
        <xdr:cNvSpPr txBox="1">
          <a:spLocks noChangeAspect="1"/>
        </xdr:cNvSpPr>
      </xdr:nvSpPr>
      <xdr:spPr>
        <a:xfrm>
          <a:off x="8476832" y="7498483"/>
          <a:ext cx="3643489"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E10C5628-3C5B-E240-B408-9955CB23A513}" type="TxLink">
            <a:rPr lang="en-US" sz="1600" b="1" i="0" u="none" strike="noStrike">
              <a:solidFill>
                <a:srgbClr val="000000"/>
              </a:solidFill>
              <a:latin typeface="Arial" panose="020B0604020202020204" pitchFamily="34" charset="0"/>
              <a:cs typeface="Arial" panose="020B0604020202020204" pitchFamily="34" charset="0"/>
            </a:rPr>
            <a:t>Analyst</a:t>
          </a:fld>
          <a:endParaRPr lang="en-US" sz="1800" b="1">
            <a:latin typeface="Arial" panose="020B0604020202020204" pitchFamily="34" charset="0"/>
            <a:cs typeface="Arial" panose="020B0604020202020204" pitchFamily="34" charset="0"/>
          </a:endParaRPr>
        </a:p>
      </xdr:txBody>
    </xdr:sp>
    <xdr:clientData/>
  </xdr:twoCellAnchor>
  <xdr:twoCellAnchor>
    <xdr:from>
      <xdr:col>12</xdr:col>
      <xdr:colOff>711197</xdr:colOff>
      <xdr:row>32</xdr:row>
      <xdr:rowOff>25400</xdr:rowOff>
    </xdr:from>
    <xdr:to>
      <xdr:col>14</xdr:col>
      <xdr:colOff>499531</xdr:colOff>
      <xdr:row>34</xdr:row>
      <xdr:rowOff>38100</xdr:rowOff>
    </xdr:to>
    <xdr:sp macro="" textlink="">
      <xdr:nvSpPr>
        <xdr:cNvPr id="45" name="Rounded Rectangle 44">
          <a:extLst>
            <a:ext uri="{FF2B5EF4-FFF2-40B4-BE49-F238E27FC236}">
              <a16:creationId xmlns:a16="http://schemas.microsoft.com/office/drawing/2014/main" id="{5EAD768B-F885-54C7-0A2A-06DC085692B9}"/>
            </a:ext>
          </a:extLst>
        </xdr:cNvPr>
        <xdr:cNvSpPr>
          <a:spLocks noChangeAspect="1"/>
        </xdr:cNvSpPr>
      </xdr:nvSpPr>
      <xdr:spPr>
        <a:xfrm>
          <a:off x="10617197" y="5715000"/>
          <a:ext cx="1439334" cy="36830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711197</xdr:colOff>
      <xdr:row>34</xdr:row>
      <xdr:rowOff>97369</xdr:rowOff>
    </xdr:from>
    <xdr:to>
      <xdr:col>14</xdr:col>
      <xdr:colOff>499531</xdr:colOff>
      <xdr:row>36</xdr:row>
      <xdr:rowOff>29636</xdr:rowOff>
    </xdr:to>
    <xdr:sp macro="" textlink="">
      <xdr:nvSpPr>
        <xdr:cNvPr id="46" name="Rounded Rectangle 45">
          <a:extLst>
            <a:ext uri="{FF2B5EF4-FFF2-40B4-BE49-F238E27FC236}">
              <a16:creationId xmlns:a16="http://schemas.microsoft.com/office/drawing/2014/main" id="{C68ED3F1-E136-424A-878A-F97B462B85AD}"/>
            </a:ext>
          </a:extLst>
        </xdr:cNvPr>
        <xdr:cNvSpPr>
          <a:spLocks noChangeAspect="1"/>
        </xdr:cNvSpPr>
      </xdr:nvSpPr>
      <xdr:spPr>
        <a:xfrm>
          <a:off x="10617197" y="6142569"/>
          <a:ext cx="1439334" cy="287867"/>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46566</xdr:colOff>
      <xdr:row>32</xdr:row>
      <xdr:rowOff>53619</xdr:rowOff>
    </xdr:from>
    <xdr:to>
      <xdr:col>14</xdr:col>
      <xdr:colOff>554853</xdr:colOff>
      <xdr:row>34</xdr:row>
      <xdr:rowOff>11285</xdr:rowOff>
    </xdr:to>
    <xdr:sp macro="" textlink="PivotTables!F19">
      <xdr:nvSpPr>
        <xdr:cNvPr id="39" name="TextBox 38">
          <a:extLst>
            <a:ext uri="{FF2B5EF4-FFF2-40B4-BE49-F238E27FC236}">
              <a16:creationId xmlns:a16="http://schemas.microsoft.com/office/drawing/2014/main" id="{13D71288-99F6-494D-BE31-0E357F59E3B1}"/>
            </a:ext>
          </a:extLst>
        </xdr:cNvPr>
        <xdr:cNvSpPr txBox="1">
          <a:spLocks noChangeAspect="1"/>
        </xdr:cNvSpPr>
      </xdr:nvSpPr>
      <xdr:spPr>
        <a:xfrm>
          <a:off x="10778066" y="5743219"/>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840E1E7D-D0E5-0144-9FA3-568A4A9A3B15}" type="TxLink">
            <a:rPr lang="en-US" sz="2000" b="0" i="0" u="none" strike="noStrike">
              <a:solidFill>
                <a:srgbClr val="000000"/>
              </a:solidFill>
              <a:latin typeface="Arial" panose="020B0604020202020204" pitchFamily="34" charset="0"/>
              <a:cs typeface="Arial" panose="020B0604020202020204" pitchFamily="34" charset="0"/>
            </a:rPr>
            <a:pPr algn="r"/>
            <a:t> 3,104,913 </a:t>
          </a:fld>
          <a:endParaRPr lang="en-US" sz="3200" b="0">
            <a:latin typeface="Arial" panose="020B0604020202020204" pitchFamily="34" charset="0"/>
            <a:cs typeface="Arial" panose="020B0604020202020204" pitchFamily="34" charset="0"/>
          </a:endParaRPr>
        </a:p>
      </xdr:txBody>
    </xdr:sp>
    <xdr:clientData/>
  </xdr:twoCellAnchor>
  <xdr:twoCellAnchor>
    <xdr:from>
      <xdr:col>12</xdr:col>
      <xdr:colOff>711197</xdr:colOff>
      <xdr:row>36</xdr:row>
      <xdr:rowOff>80435</xdr:rowOff>
    </xdr:from>
    <xdr:to>
      <xdr:col>14</xdr:col>
      <xdr:colOff>499531</xdr:colOff>
      <xdr:row>38</xdr:row>
      <xdr:rowOff>12702</xdr:rowOff>
    </xdr:to>
    <xdr:sp macro="" textlink="">
      <xdr:nvSpPr>
        <xdr:cNvPr id="47" name="Rounded Rectangle 46">
          <a:extLst>
            <a:ext uri="{FF2B5EF4-FFF2-40B4-BE49-F238E27FC236}">
              <a16:creationId xmlns:a16="http://schemas.microsoft.com/office/drawing/2014/main" id="{F5B8AC10-E092-5745-8E30-D0B714AE11D7}"/>
            </a:ext>
          </a:extLst>
        </xdr:cNvPr>
        <xdr:cNvSpPr>
          <a:spLocks noChangeAspect="1"/>
        </xdr:cNvSpPr>
      </xdr:nvSpPr>
      <xdr:spPr>
        <a:xfrm>
          <a:off x="10617197" y="6481235"/>
          <a:ext cx="1439334" cy="287867"/>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46566</xdr:colOff>
      <xdr:row>34</xdr:row>
      <xdr:rowOff>93130</xdr:rowOff>
    </xdr:from>
    <xdr:to>
      <xdr:col>14</xdr:col>
      <xdr:colOff>554853</xdr:colOff>
      <xdr:row>36</xdr:row>
      <xdr:rowOff>50796</xdr:rowOff>
    </xdr:to>
    <xdr:sp macro="" textlink="PivotTables!F18">
      <xdr:nvSpPr>
        <xdr:cNvPr id="40" name="TextBox 39">
          <a:extLst>
            <a:ext uri="{FF2B5EF4-FFF2-40B4-BE49-F238E27FC236}">
              <a16:creationId xmlns:a16="http://schemas.microsoft.com/office/drawing/2014/main" id="{0997C3A1-CDAA-4A46-8730-FF0A1CFF099E}"/>
            </a:ext>
          </a:extLst>
        </xdr:cNvPr>
        <xdr:cNvSpPr txBox="1">
          <a:spLocks noChangeAspect="1"/>
        </xdr:cNvSpPr>
      </xdr:nvSpPr>
      <xdr:spPr>
        <a:xfrm>
          <a:off x="10778066" y="6138330"/>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CB956A07-500C-9947-BD24-003951F397B6}" type="TxLink">
            <a:rPr lang="en-US" sz="2000" b="0" i="0" u="none" strike="noStrike">
              <a:solidFill>
                <a:srgbClr val="000000"/>
              </a:solidFill>
              <a:latin typeface="Arial" panose="020B0604020202020204" pitchFamily="34" charset="0"/>
              <a:cs typeface="Arial" panose="020B0604020202020204" pitchFamily="34" charset="0"/>
            </a:rPr>
            <a:pPr algn="r"/>
            <a:t> 731,170 </a:t>
          </a:fld>
          <a:endParaRPr lang="en-US" sz="3600" b="0">
            <a:latin typeface="Arial" panose="020B0604020202020204" pitchFamily="34" charset="0"/>
            <a:cs typeface="Arial" panose="020B0604020202020204" pitchFamily="34" charset="0"/>
          </a:endParaRPr>
        </a:p>
      </xdr:txBody>
    </xdr:sp>
    <xdr:clientData/>
  </xdr:twoCellAnchor>
  <xdr:twoCellAnchor>
    <xdr:from>
      <xdr:col>12</xdr:col>
      <xdr:colOff>711197</xdr:colOff>
      <xdr:row>38</xdr:row>
      <xdr:rowOff>67734</xdr:rowOff>
    </xdr:from>
    <xdr:to>
      <xdr:col>14</xdr:col>
      <xdr:colOff>499531</xdr:colOff>
      <xdr:row>40</xdr:row>
      <xdr:rowOff>1</xdr:rowOff>
    </xdr:to>
    <xdr:sp macro="" textlink="">
      <xdr:nvSpPr>
        <xdr:cNvPr id="48" name="Rounded Rectangle 47">
          <a:extLst>
            <a:ext uri="{FF2B5EF4-FFF2-40B4-BE49-F238E27FC236}">
              <a16:creationId xmlns:a16="http://schemas.microsoft.com/office/drawing/2014/main" id="{B2FB729D-78BA-D547-A7FE-9572A9D88D44}"/>
            </a:ext>
          </a:extLst>
        </xdr:cNvPr>
        <xdr:cNvSpPr>
          <a:spLocks noChangeAspect="1"/>
        </xdr:cNvSpPr>
      </xdr:nvSpPr>
      <xdr:spPr>
        <a:xfrm>
          <a:off x="10617197" y="6824134"/>
          <a:ext cx="1439334" cy="287867"/>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46566</xdr:colOff>
      <xdr:row>36</xdr:row>
      <xdr:rowOff>76197</xdr:rowOff>
    </xdr:from>
    <xdr:to>
      <xdr:col>14</xdr:col>
      <xdr:colOff>554853</xdr:colOff>
      <xdr:row>38</xdr:row>
      <xdr:rowOff>33863</xdr:rowOff>
    </xdr:to>
    <xdr:sp macro="" textlink="PivotTables!F17">
      <xdr:nvSpPr>
        <xdr:cNvPr id="41" name="TextBox 40">
          <a:extLst>
            <a:ext uri="{FF2B5EF4-FFF2-40B4-BE49-F238E27FC236}">
              <a16:creationId xmlns:a16="http://schemas.microsoft.com/office/drawing/2014/main" id="{A4547497-5D13-0C4C-B138-53F16F11B1B7}"/>
            </a:ext>
          </a:extLst>
        </xdr:cNvPr>
        <xdr:cNvSpPr txBox="1">
          <a:spLocks noChangeAspect="1"/>
        </xdr:cNvSpPr>
      </xdr:nvSpPr>
      <xdr:spPr>
        <a:xfrm>
          <a:off x="10778066" y="6476997"/>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380372E2-89BB-6E4C-9889-2A5B7BEB0716}" type="TxLink">
            <a:rPr lang="en-US" sz="2000" b="0" i="0" u="none" strike="noStrike">
              <a:solidFill>
                <a:srgbClr val="000000"/>
              </a:solidFill>
              <a:latin typeface="Arial" panose="020B0604020202020204" pitchFamily="34" charset="0"/>
              <a:cs typeface="Arial" panose="020B0604020202020204" pitchFamily="34" charset="0"/>
            </a:rPr>
            <a:pPr algn="r"/>
            <a:t> 959,266 </a:t>
          </a:fld>
          <a:endParaRPr lang="en-US" sz="3600" b="0">
            <a:latin typeface="Arial" panose="020B0604020202020204" pitchFamily="34" charset="0"/>
            <a:cs typeface="Arial" panose="020B0604020202020204" pitchFamily="34" charset="0"/>
          </a:endParaRPr>
        </a:p>
      </xdr:txBody>
    </xdr:sp>
    <xdr:clientData/>
  </xdr:twoCellAnchor>
  <xdr:twoCellAnchor>
    <xdr:from>
      <xdr:col>12</xdr:col>
      <xdr:colOff>711197</xdr:colOff>
      <xdr:row>40</xdr:row>
      <xdr:rowOff>59267</xdr:rowOff>
    </xdr:from>
    <xdr:to>
      <xdr:col>14</xdr:col>
      <xdr:colOff>499531</xdr:colOff>
      <xdr:row>41</xdr:row>
      <xdr:rowOff>169334</xdr:rowOff>
    </xdr:to>
    <xdr:sp macro="" textlink="">
      <xdr:nvSpPr>
        <xdr:cNvPr id="49" name="Rounded Rectangle 48">
          <a:extLst>
            <a:ext uri="{FF2B5EF4-FFF2-40B4-BE49-F238E27FC236}">
              <a16:creationId xmlns:a16="http://schemas.microsoft.com/office/drawing/2014/main" id="{32F4A81B-2B90-734A-A2B1-956C2D1B9515}"/>
            </a:ext>
          </a:extLst>
        </xdr:cNvPr>
        <xdr:cNvSpPr>
          <a:spLocks noChangeAspect="1"/>
        </xdr:cNvSpPr>
      </xdr:nvSpPr>
      <xdr:spPr>
        <a:xfrm>
          <a:off x="10617197" y="7171267"/>
          <a:ext cx="1439334" cy="287867"/>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711197</xdr:colOff>
      <xdr:row>42</xdr:row>
      <xdr:rowOff>38100</xdr:rowOff>
    </xdr:from>
    <xdr:to>
      <xdr:col>14</xdr:col>
      <xdr:colOff>499531</xdr:colOff>
      <xdr:row>43</xdr:row>
      <xdr:rowOff>148167</xdr:rowOff>
    </xdr:to>
    <xdr:sp macro="" textlink="">
      <xdr:nvSpPr>
        <xdr:cNvPr id="50" name="Rounded Rectangle 49">
          <a:extLst>
            <a:ext uri="{FF2B5EF4-FFF2-40B4-BE49-F238E27FC236}">
              <a16:creationId xmlns:a16="http://schemas.microsoft.com/office/drawing/2014/main" id="{97983D6F-C40C-E946-9DF0-B8E1D0ED92A1}"/>
            </a:ext>
          </a:extLst>
        </xdr:cNvPr>
        <xdr:cNvSpPr>
          <a:spLocks noChangeAspect="1"/>
        </xdr:cNvSpPr>
      </xdr:nvSpPr>
      <xdr:spPr>
        <a:xfrm>
          <a:off x="10617197" y="7505700"/>
          <a:ext cx="1439334" cy="287867"/>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46566</xdr:colOff>
      <xdr:row>38</xdr:row>
      <xdr:rowOff>61167</xdr:rowOff>
    </xdr:from>
    <xdr:to>
      <xdr:col>14</xdr:col>
      <xdr:colOff>554853</xdr:colOff>
      <xdr:row>40</xdr:row>
      <xdr:rowOff>18833</xdr:rowOff>
    </xdr:to>
    <xdr:sp macro="" textlink="PivotTables!F16">
      <xdr:nvSpPr>
        <xdr:cNvPr id="42" name="TextBox 41">
          <a:extLst>
            <a:ext uri="{FF2B5EF4-FFF2-40B4-BE49-F238E27FC236}">
              <a16:creationId xmlns:a16="http://schemas.microsoft.com/office/drawing/2014/main" id="{2CB7FBB0-2163-4B48-9563-41EA63AE7DF8}"/>
            </a:ext>
          </a:extLst>
        </xdr:cNvPr>
        <xdr:cNvSpPr txBox="1">
          <a:spLocks noChangeAspect="1"/>
        </xdr:cNvSpPr>
      </xdr:nvSpPr>
      <xdr:spPr>
        <a:xfrm>
          <a:off x="10778066" y="6817567"/>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16598BE6-8D38-7C40-BF8B-A05B32AB6679}" type="TxLink">
            <a:rPr lang="en-US" sz="2000" b="0" i="0" u="none" strike="noStrike">
              <a:solidFill>
                <a:srgbClr val="000000"/>
              </a:solidFill>
              <a:latin typeface="Arial" panose="020B0604020202020204" pitchFamily="34" charset="0"/>
              <a:cs typeface="Arial" panose="020B0604020202020204" pitchFamily="34" charset="0"/>
            </a:rPr>
            <a:pPr algn="r"/>
            <a:t> 633,594 </a:t>
          </a:fld>
          <a:endParaRPr lang="en-US" sz="3600" b="0">
            <a:latin typeface="Arial" panose="020B0604020202020204" pitchFamily="34" charset="0"/>
            <a:cs typeface="Arial" panose="020B0604020202020204" pitchFamily="34" charset="0"/>
          </a:endParaRPr>
        </a:p>
      </xdr:txBody>
    </xdr:sp>
    <xdr:clientData/>
  </xdr:twoCellAnchor>
  <xdr:twoCellAnchor>
    <xdr:from>
      <xdr:col>13</xdr:col>
      <xdr:colOff>46566</xdr:colOff>
      <xdr:row>40</xdr:row>
      <xdr:rowOff>52231</xdr:rowOff>
    </xdr:from>
    <xdr:to>
      <xdr:col>14</xdr:col>
      <xdr:colOff>554853</xdr:colOff>
      <xdr:row>42</xdr:row>
      <xdr:rowOff>9897</xdr:rowOff>
    </xdr:to>
    <xdr:sp macro="" textlink="PivotTables!F15">
      <xdr:nvSpPr>
        <xdr:cNvPr id="43" name="TextBox 42">
          <a:extLst>
            <a:ext uri="{FF2B5EF4-FFF2-40B4-BE49-F238E27FC236}">
              <a16:creationId xmlns:a16="http://schemas.microsoft.com/office/drawing/2014/main" id="{92F8A6B2-EB70-E544-8382-0F9A8F99FFA1}"/>
            </a:ext>
          </a:extLst>
        </xdr:cNvPr>
        <xdr:cNvSpPr txBox="1">
          <a:spLocks noChangeAspect="1"/>
        </xdr:cNvSpPr>
      </xdr:nvSpPr>
      <xdr:spPr>
        <a:xfrm>
          <a:off x="10778066" y="7164231"/>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74C56432-3799-1140-9B77-71C14FB197AB}" type="TxLink">
            <a:rPr lang="en-US" sz="2000" b="0" i="0" u="none" strike="noStrike">
              <a:solidFill>
                <a:srgbClr val="000000"/>
              </a:solidFill>
              <a:latin typeface="Arial" panose="020B0604020202020204" pitchFamily="34" charset="0"/>
              <a:cs typeface="Arial" panose="020B0604020202020204" pitchFamily="34" charset="0"/>
            </a:rPr>
            <a:pPr algn="r"/>
            <a:t> 613,842 </a:t>
          </a:fld>
          <a:endParaRPr lang="en-US" sz="3600" b="0">
            <a:latin typeface="Arial" panose="020B0604020202020204" pitchFamily="34" charset="0"/>
            <a:cs typeface="Arial" panose="020B0604020202020204" pitchFamily="34" charset="0"/>
          </a:endParaRPr>
        </a:p>
      </xdr:txBody>
    </xdr:sp>
    <xdr:clientData/>
  </xdr:twoCellAnchor>
  <xdr:twoCellAnchor>
    <xdr:from>
      <xdr:col>13</xdr:col>
      <xdr:colOff>46566</xdr:colOff>
      <xdr:row>42</xdr:row>
      <xdr:rowOff>30884</xdr:rowOff>
    </xdr:from>
    <xdr:to>
      <xdr:col>14</xdr:col>
      <xdr:colOff>554853</xdr:colOff>
      <xdr:row>43</xdr:row>
      <xdr:rowOff>166350</xdr:rowOff>
    </xdr:to>
    <xdr:sp macro="" textlink="PivotTables!F14">
      <xdr:nvSpPr>
        <xdr:cNvPr id="44" name="TextBox 43">
          <a:extLst>
            <a:ext uri="{FF2B5EF4-FFF2-40B4-BE49-F238E27FC236}">
              <a16:creationId xmlns:a16="http://schemas.microsoft.com/office/drawing/2014/main" id="{E2231E5F-9D15-454D-A07D-57D134609B8E}"/>
            </a:ext>
          </a:extLst>
        </xdr:cNvPr>
        <xdr:cNvSpPr txBox="1">
          <a:spLocks noChangeAspect="1"/>
        </xdr:cNvSpPr>
      </xdr:nvSpPr>
      <xdr:spPr>
        <a:xfrm>
          <a:off x="10778066" y="7498484"/>
          <a:ext cx="1333787"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5602405F-C786-9144-99E8-3F576036D6FE}" type="TxLink">
            <a:rPr lang="en-US" sz="2000" b="0" i="0" u="none" strike="noStrike">
              <a:solidFill>
                <a:srgbClr val="000000"/>
              </a:solidFill>
              <a:latin typeface="Arial" panose="020B0604020202020204" pitchFamily="34" charset="0"/>
              <a:cs typeface="Arial" panose="020B0604020202020204" pitchFamily="34" charset="0"/>
            </a:rPr>
            <a:pPr algn="r"/>
            <a:t> 167,041 </a:t>
          </a:fld>
          <a:endParaRPr lang="en-US" sz="3600" b="0">
            <a:latin typeface="Arial" panose="020B0604020202020204" pitchFamily="34" charset="0"/>
            <a:cs typeface="Arial" panose="020B0604020202020204" pitchFamily="34" charset="0"/>
          </a:endParaRPr>
        </a:p>
      </xdr:txBody>
    </xdr:sp>
    <xdr:clientData/>
  </xdr:twoCellAnchor>
  <xdr:twoCellAnchor>
    <xdr:from>
      <xdr:col>10</xdr:col>
      <xdr:colOff>234249</xdr:colOff>
      <xdr:row>26</xdr:row>
      <xdr:rowOff>57463</xdr:rowOff>
    </xdr:from>
    <xdr:to>
      <xdr:col>14</xdr:col>
      <xdr:colOff>555925</xdr:colOff>
      <xdr:row>29</xdr:row>
      <xdr:rowOff>123880</xdr:rowOff>
    </xdr:to>
    <xdr:sp macro="" textlink="">
      <xdr:nvSpPr>
        <xdr:cNvPr id="51" name="TextBox 50">
          <a:extLst>
            <a:ext uri="{FF2B5EF4-FFF2-40B4-BE49-F238E27FC236}">
              <a16:creationId xmlns:a16="http://schemas.microsoft.com/office/drawing/2014/main" id="{9162A7C0-0512-F64E-B500-03F4156F3AA2}"/>
            </a:ext>
          </a:extLst>
        </xdr:cNvPr>
        <xdr:cNvSpPr txBox="1">
          <a:spLocks noChangeAspect="1"/>
        </xdr:cNvSpPr>
      </xdr:nvSpPr>
      <xdr:spPr>
        <a:xfrm>
          <a:off x="8489249" y="4680263"/>
          <a:ext cx="3623676" cy="5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SALARIES</a:t>
          </a:r>
          <a:endPar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10</xdr:col>
      <xdr:colOff>227904</xdr:colOff>
      <xdr:row>28</xdr:row>
      <xdr:rowOff>59992</xdr:rowOff>
    </xdr:from>
    <xdr:to>
      <xdr:col>14</xdr:col>
      <xdr:colOff>549580</xdr:colOff>
      <xdr:row>30</xdr:row>
      <xdr:rowOff>78250</xdr:rowOff>
    </xdr:to>
    <xdr:sp macro="" textlink="">
      <xdr:nvSpPr>
        <xdr:cNvPr id="52" name="TextBox 51">
          <a:extLst>
            <a:ext uri="{FF2B5EF4-FFF2-40B4-BE49-F238E27FC236}">
              <a16:creationId xmlns:a16="http://schemas.microsoft.com/office/drawing/2014/main" id="{C8747E15-08EA-1641-B8D4-AAD435259473}"/>
            </a:ext>
          </a:extLst>
        </xdr:cNvPr>
        <xdr:cNvSpPr txBox="1">
          <a:spLocks noChangeAspect="1"/>
        </xdr:cNvSpPr>
      </xdr:nvSpPr>
      <xdr:spPr>
        <a:xfrm>
          <a:off x="8482904" y="5038392"/>
          <a:ext cx="3623676" cy="373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Salary amount by job titles</a:t>
          </a:r>
        </a:p>
      </xdr:txBody>
    </xdr:sp>
    <xdr:clientData/>
  </xdr:twoCellAnchor>
  <xdr:twoCellAnchor>
    <xdr:from>
      <xdr:col>15</xdr:col>
      <xdr:colOff>461818</xdr:colOff>
      <xdr:row>23</xdr:row>
      <xdr:rowOff>73668</xdr:rowOff>
    </xdr:from>
    <xdr:to>
      <xdr:col>20</xdr:col>
      <xdr:colOff>529165</xdr:colOff>
      <xdr:row>26</xdr:row>
      <xdr:rowOff>140085</xdr:rowOff>
    </xdr:to>
    <xdr:sp macro="" textlink="">
      <xdr:nvSpPr>
        <xdr:cNvPr id="53" name="TextBox 52">
          <a:extLst>
            <a:ext uri="{FF2B5EF4-FFF2-40B4-BE49-F238E27FC236}">
              <a16:creationId xmlns:a16="http://schemas.microsoft.com/office/drawing/2014/main" id="{EB27FD4B-3C56-7549-8932-D6B90BAAC248}"/>
            </a:ext>
          </a:extLst>
        </xdr:cNvPr>
        <xdr:cNvSpPr txBox="1">
          <a:spLocks noChangeAspect="1"/>
        </xdr:cNvSpPr>
      </xdr:nvSpPr>
      <xdr:spPr>
        <a:xfrm>
          <a:off x="12844318" y="4163068"/>
          <a:ext cx="4194847" cy="5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b="1">
              <a:solidFill>
                <a:schemeClr val="accent2">
                  <a:lumMod val="75000"/>
                </a:schemeClr>
              </a:solidFill>
              <a:latin typeface="Arial" panose="020B0604020202020204" pitchFamily="34" charset="0"/>
              <a:cs typeface="Arial" panose="020B0604020202020204" pitchFamily="34" charset="0"/>
            </a:rPr>
            <a:t>EMPLOYMENT</a:t>
          </a:r>
          <a:r>
            <a:rPr lang="en-US" sz="1600" b="1" baseline="0">
              <a:solidFill>
                <a:schemeClr val="accent2">
                  <a:lumMod val="75000"/>
                </a:schemeClr>
              </a:solidFill>
              <a:latin typeface="Arial" panose="020B0604020202020204" pitchFamily="34" charset="0"/>
              <a:cs typeface="Arial" panose="020B0604020202020204" pitchFamily="34" charset="0"/>
            </a:rPr>
            <a:t> STATUS BREAKDOWN</a:t>
          </a:r>
        </a:p>
      </xdr:txBody>
    </xdr:sp>
    <xdr:clientData/>
  </xdr:twoCellAnchor>
  <xdr:twoCellAnchor>
    <xdr:from>
      <xdr:col>15</xdr:col>
      <xdr:colOff>272143</xdr:colOff>
      <xdr:row>23</xdr:row>
      <xdr:rowOff>105833</xdr:rowOff>
    </xdr:from>
    <xdr:to>
      <xdr:col>18</xdr:col>
      <xdr:colOff>377976</xdr:colOff>
      <xdr:row>35</xdr:row>
      <xdr:rowOff>45357</xdr:rowOff>
    </xdr:to>
    <xdr:graphicFrame macro="">
      <xdr:nvGraphicFramePr>
        <xdr:cNvPr id="54" name="Chart 53">
          <a:extLst>
            <a:ext uri="{FF2B5EF4-FFF2-40B4-BE49-F238E27FC236}">
              <a16:creationId xmlns:a16="http://schemas.microsoft.com/office/drawing/2014/main" id="{36BB2637-BA18-DC46-B064-8F07EC0C1BB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226786</xdr:colOff>
      <xdr:row>26</xdr:row>
      <xdr:rowOff>120952</xdr:rowOff>
    </xdr:from>
    <xdr:to>
      <xdr:col>20</xdr:col>
      <xdr:colOff>468691</xdr:colOff>
      <xdr:row>28</xdr:row>
      <xdr:rowOff>0</xdr:rowOff>
    </xdr:to>
    <xdr:sp macro="" textlink="">
      <xdr:nvSpPr>
        <xdr:cNvPr id="55" name="Oval 54">
          <a:extLst>
            <a:ext uri="{FF2B5EF4-FFF2-40B4-BE49-F238E27FC236}">
              <a16:creationId xmlns:a16="http://schemas.microsoft.com/office/drawing/2014/main" id="{0C7DEA5A-395A-2443-F85A-58FB4BF77890}"/>
            </a:ext>
          </a:extLst>
        </xdr:cNvPr>
        <xdr:cNvSpPr>
          <a:spLocks noChangeAspect="1"/>
        </xdr:cNvSpPr>
      </xdr:nvSpPr>
      <xdr:spPr>
        <a:xfrm>
          <a:off x="16736786" y="4743752"/>
          <a:ext cx="241905" cy="234648"/>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227996</xdr:colOff>
      <xdr:row>35</xdr:row>
      <xdr:rowOff>107038</xdr:rowOff>
    </xdr:from>
    <xdr:to>
      <xdr:col>20</xdr:col>
      <xdr:colOff>469901</xdr:colOff>
      <xdr:row>36</xdr:row>
      <xdr:rowOff>167514</xdr:rowOff>
    </xdr:to>
    <xdr:sp macro="" textlink="">
      <xdr:nvSpPr>
        <xdr:cNvPr id="56" name="Oval 55">
          <a:extLst>
            <a:ext uri="{FF2B5EF4-FFF2-40B4-BE49-F238E27FC236}">
              <a16:creationId xmlns:a16="http://schemas.microsoft.com/office/drawing/2014/main" id="{E407EB84-4001-FA43-94F7-3FC7C5BADD80}"/>
            </a:ext>
          </a:extLst>
        </xdr:cNvPr>
        <xdr:cNvSpPr>
          <a:spLocks noChangeAspect="1"/>
        </xdr:cNvSpPr>
      </xdr:nvSpPr>
      <xdr:spPr>
        <a:xfrm>
          <a:off x="16737996" y="6330038"/>
          <a:ext cx="241905" cy="238276"/>
        </a:xfrm>
        <a:prstGeom prst="ellipse">
          <a:avLst/>
        </a:prstGeom>
        <a:solidFill>
          <a:schemeClr val="tx1">
            <a:lumMod val="95000"/>
            <a:lumOff val="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531593</xdr:colOff>
      <xdr:row>35</xdr:row>
      <xdr:rowOff>108248</xdr:rowOff>
    </xdr:from>
    <xdr:to>
      <xdr:col>17</xdr:col>
      <xdr:colOff>773498</xdr:colOff>
      <xdr:row>36</xdr:row>
      <xdr:rowOff>168724</xdr:rowOff>
    </xdr:to>
    <xdr:sp macro="" textlink="">
      <xdr:nvSpPr>
        <xdr:cNvPr id="57" name="Oval 56">
          <a:extLst>
            <a:ext uri="{FF2B5EF4-FFF2-40B4-BE49-F238E27FC236}">
              <a16:creationId xmlns:a16="http://schemas.microsoft.com/office/drawing/2014/main" id="{E9C9874E-D0EC-1548-9829-9648328653BB}"/>
            </a:ext>
          </a:extLst>
        </xdr:cNvPr>
        <xdr:cNvSpPr>
          <a:spLocks noChangeAspect="1"/>
        </xdr:cNvSpPr>
      </xdr:nvSpPr>
      <xdr:spPr>
        <a:xfrm>
          <a:off x="14565093" y="6331248"/>
          <a:ext cx="241905" cy="238276"/>
        </a:xfrm>
        <a:prstGeom prst="ellipse">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659832</xdr:colOff>
      <xdr:row>30</xdr:row>
      <xdr:rowOff>127710</xdr:rowOff>
    </xdr:from>
    <xdr:to>
      <xdr:col>10</xdr:col>
      <xdr:colOff>269609</xdr:colOff>
      <xdr:row>44</xdr:row>
      <xdr:rowOff>78044</xdr:rowOff>
    </xdr:to>
    <xdr:graphicFrame macro="">
      <xdr:nvGraphicFramePr>
        <xdr:cNvPr id="58" name="Chart 57">
          <a:extLst>
            <a:ext uri="{FF2B5EF4-FFF2-40B4-BE49-F238E27FC236}">
              <a16:creationId xmlns:a16="http://schemas.microsoft.com/office/drawing/2014/main" id="{2A5D55D3-57C6-6E43-A1A3-BF44E63DA3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70550</xdr:colOff>
      <xdr:row>26</xdr:row>
      <xdr:rowOff>65927</xdr:rowOff>
    </xdr:from>
    <xdr:to>
      <xdr:col>9</xdr:col>
      <xdr:colOff>392226</xdr:colOff>
      <xdr:row>29</xdr:row>
      <xdr:rowOff>132344</xdr:rowOff>
    </xdr:to>
    <xdr:sp macro="" textlink="">
      <xdr:nvSpPr>
        <xdr:cNvPr id="59" name="TextBox 58">
          <a:extLst>
            <a:ext uri="{FF2B5EF4-FFF2-40B4-BE49-F238E27FC236}">
              <a16:creationId xmlns:a16="http://schemas.microsoft.com/office/drawing/2014/main" id="{40967D40-BA91-3345-A633-DB4B969E4FC7}"/>
            </a:ext>
          </a:extLst>
        </xdr:cNvPr>
        <xdr:cNvSpPr txBox="1">
          <a:spLocks noChangeAspect="1"/>
        </xdr:cNvSpPr>
      </xdr:nvSpPr>
      <xdr:spPr>
        <a:xfrm>
          <a:off x="4198050" y="4688727"/>
          <a:ext cx="3623676" cy="5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AGE RANGE</a:t>
          </a:r>
          <a:endPar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5</xdr:col>
      <xdr:colOff>64205</xdr:colOff>
      <xdr:row>28</xdr:row>
      <xdr:rowOff>68455</xdr:rowOff>
    </xdr:from>
    <xdr:to>
      <xdr:col>9</xdr:col>
      <xdr:colOff>385881</xdr:colOff>
      <xdr:row>31</xdr:row>
      <xdr:rowOff>27102</xdr:rowOff>
    </xdr:to>
    <xdr:sp macro="" textlink="">
      <xdr:nvSpPr>
        <xdr:cNvPr id="60" name="TextBox 59">
          <a:extLst>
            <a:ext uri="{FF2B5EF4-FFF2-40B4-BE49-F238E27FC236}">
              <a16:creationId xmlns:a16="http://schemas.microsoft.com/office/drawing/2014/main" id="{41DA4633-ADCD-FA47-8D20-BEF865D3B68A}"/>
            </a:ext>
          </a:extLst>
        </xdr:cNvPr>
        <xdr:cNvSpPr txBox="1">
          <a:spLocks noChangeAspect="1"/>
        </xdr:cNvSpPr>
      </xdr:nvSpPr>
      <xdr:spPr>
        <a:xfrm>
          <a:off x="4191705" y="5046855"/>
          <a:ext cx="3623676" cy="492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No. of employees according to age</a:t>
          </a:r>
        </a:p>
        <a:p>
          <a:r>
            <a:rPr lang="en-US" sz="1200" b="1" baseline="0">
              <a:latin typeface="Arial" panose="020B0604020202020204" pitchFamily="34" charset="0"/>
              <a:cs typeface="Arial" panose="020B0604020202020204" pitchFamily="34" charset="0"/>
            </a:rPr>
            <a:t>ranges and genders</a:t>
          </a:r>
        </a:p>
      </xdr:txBody>
    </xdr:sp>
    <xdr:clientData/>
  </xdr:twoCellAnchor>
  <xdr:twoCellAnchor>
    <xdr:from>
      <xdr:col>8</xdr:col>
      <xdr:colOff>689225</xdr:colOff>
      <xdr:row>29</xdr:row>
      <xdr:rowOff>109089</xdr:rowOff>
    </xdr:from>
    <xdr:to>
      <xdr:col>9</xdr:col>
      <xdr:colOff>463550</xdr:colOff>
      <xdr:row>31</xdr:row>
      <xdr:rowOff>114300</xdr:rowOff>
    </xdr:to>
    <xdr:sp macro="" textlink="">
      <xdr:nvSpPr>
        <xdr:cNvPr id="61" name="TextBox 60">
          <a:extLst>
            <a:ext uri="{FF2B5EF4-FFF2-40B4-BE49-F238E27FC236}">
              <a16:creationId xmlns:a16="http://schemas.microsoft.com/office/drawing/2014/main" id="{1FF8D187-025C-9C4F-A47C-D0CAD61D6C88}"/>
            </a:ext>
          </a:extLst>
        </xdr:cNvPr>
        <xdr:cNvSpPr txBox="1">
          <a:spLocks noChangeAspect="1"/>
        </xdr:cNvSpPr>
      </xdr:nvSpPr>
      <xdr:spPr>
        <a:xfrm>
          <a:off x="7293225" y="5265289"/>
          <a:ext cx="599825" cy="360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900" b="1" baseline="0">
              <a:latin typeface="Arial" panose="020B0604020202020204" pitchFamily="34" charset="0"/>
              <a:cs typeface="Arial" panose="020B0604020202020204" pitchFamily="34" charset="0"/>
            </a:rPr>
            <a:t>Male</a:t>
          </a:r>
        </a:p>
      </xdr:txBody>
    </xdr:sp>
    <xdr:clientData/>
  </xdr:twoCellAnchor>
  <xdr:twoCellAnchor>
    <xdr:from>
      <xdr:col>8</xdr:col>
      <xdr:colOff>666153</xdr:colOff>
      <xdr:row>30</xdr:row>
      <xdr:rowOff>70148</xdr:rowOff>
    </xdr:from>
    <xdr:to>
      <xdr:col>8</xdr:col>
      <xdr:colOff>739305</xdr:colOff>
      <xdr:row>30</xdr:row>
      <xdr:rowOff>143300</xdr:rowOff>
    </xdr:to>
    <xdr:sp macro="" textlink="">
      <xdr:nvSpPr>
        <xdr:cNvPr id="62" name="Oval 61">
          <a:extLst>
            <a:ext uri="{FF2B5EF4-FFF2-40B4-BE49-F238E27FC236}">
              <a16:creationId xmlns:a16="http://schemas.microsoft.com/office/drawing/2014/main" id="{5316AD54-F98C-7F4F-8543-14F00F320EFF}"/>
            </a:ext>
          </a:extLst>
        </xdr:cNvPr>
        <xdr:cNvSpPr>
          <a:spLocks noChangeAspect="1"/>
        </xdr:cNvSpPr>
      </xdr:nvSpPr>
      <xdr:spPr>
        <a:xfrm>
          <a:off x="7270153" y="5404148"/>
          <a:ext cx="73152" cy="73152"/>
        </a:xfrm>
        <a:prstGeom prst="ellipse">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8</xdr:col>
      <xdr:colOff>117725</xdr:colOff>
      <xdr:row>29</xdr:row>
      <xdr:rowOff>109089</xdr:rowOff>
    </xdr:from>
    <xdr:to>
      <xdr:col>8</xdr:col>
      <xdr:colOff>717550</xdr:colOff>
      <xdr:row>31</xdr:row>
      <xdr:rowOff>114300</xdr:rowOff>
    </xdr:to>
    <xdr:sp macro="" textlink="">
      <xdr:nvSpPr>
        <xdr:cNvPr id="63" name="TextBox 62">
          <a:extLst>
            <a:ext uri="{FF2B5EF4-FFF2-40B4-BE49-F238E27FC236}">
              <a16:creationId xmlns:a16="http://schemas.microsoft.com/office/drawing/2014/main" id="{1C61F197-D2D4-2445-ABA4-F6B71E5E4D56}"/>
            </a:ext>
          </a:extLst>
        </xdr:cNvPr>
        <xdr:cNvSpPr txBox="1">
          <a:spLocks noChangeAspect="1"/>
        </xdr:cNvSpPr>
      </xdr:nvSpPr>
      <xdr:spPr>
        <a:xfrm>
          <a:off x="6721725" y="5265289"/>
          <a:ext cx="599825" cy="360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900" b="1" baseline="0">
              <a:latin typeface="Arial" panose="020B0604020202020204" pitchFamily="34" charset="0"/>
              <a:cs typeface="Arial" panose="020B0604020202020204" pitchFamily="34" charset="0"/>
            </a:rPr>
            <a:t>Female</a:t>
          </a:r>
        </a:p>
      </xdr:txBody>
    </xdr:sp>
    <xdr:clientData/>
  </xdr:twoCellAnchor>
  <xdr:twoCellAnchor>
    <xdr:from>
      <xdr:col>8</xdr:col>
      <xdr:colOff>94653</xdr:colOff>
      <xdr:row>30</xdr:row>
      <xdr:rowOff>70148</xdr:rowOff>
    </xdr:from>
    <xdr:to>
      <xdr:col>8</xdr:col>
      <xdr:colOff>167805</xdr:colOff>
      <xdr:row>30</xdr:row>
      <xdr:rowOff>143300</xdr:rowOff>
    </xdr:to>
    <xdr:sp macro="" textlink="">
      <xdr:nvSpPr>
        <xdr:cNvPr id="64" name="Oval 63">
          <a:extLst>
            <a:ext uri="{FF2B5EF4-FFF2-40B4-BE49-F238E27FC236}">
              <a16:creationId xmlns:a16="http://schemas.microsoft.com/office/drawing/2014/main" id="{9F29488B-579A-C047-9AEB-D3CF350D4677}"/>
            </a:ext>
          </a:extLst>
        </xdr:cNvPr>
        <xdr:cNvSpPr>
          <a:spLocks noChangeAspect="1"/>
        </xdr:cNvSpPr>
      </xdr:nvSpPr>
      <xdr:spPr>
        <a:xfrm>
          <a:off x="6698653" y="5404148"/>
          <a:ext cx="73152" cy="73152"/>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0</xdr:col>
      <xdr:colOff>446595</xdr:colOff>
      <xdr:row>35</xdr:row>
      <xdr:rowOff>29147</xdr:rowOff>
    </xdr:from>
    <xdr:to>
      <xdr:col>4</xdr:col>
      <xdr:colOff>195904</xdr:colOff>
      <xdr:row>39</xdr:row>
      <xdr:rowOff>111527</xdr:rowOff>
    </xdr:to>
    <xdr:graphicFrame macro="">
      <xdr:nvGraphicFramePr>
        <xdr:cNvPr id="65" name="Chart 64">
          <a:extLst>
            <a:ext uri="{FF2B5EF4-FFF2-40B4-BE49-F238E27FC236}">
              <a16:creationId xmlns:a16="http://schemas.microsoft.com/office/drawing/2014/main" id="{3A320EB7-DC47-F84B-9012-949E11F8DD4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445296</xdr:colOff>
      <xdr:row>38</xdr:row>
      <xdr:rowOff>18415</xdr:rowOff>
    </xdr:from>
    <xdr:to>
      <xdr:col>4</xdr:col>
      <xdr:colOff>176533</xdr:colOff>
      <xdr:row>42</xdr:row>
      <xdr:rowOff>100954</xdr:rowOff>
    </xdr:to>
    <xdr:graphicFrame macro="">
      <xdr:nvGraphicFramePr>
        <xdr:cNvPr id="66" name="Chart 65">
          <a:extLst>
            <a:ext uri="{FF2B5EF4-FFF2-40B4-BE49-F238E27FC236}">
              <a16:creationId xmlns:a16="http://schemas.microsoft.com/office/drawing/2014/main" id="{A63F37F3-4C62-3D40-A405-962B5BC97F8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398218</xdr:colOff>
      <xdr:row>41</xdr:row>
      <xdr:rowOff>34775</xdr:rowOff>
    </xdr:from>
    <xdr:to>
      <xdr:col>4</xdr:col>
      <xdr:colOff>186384</xdr:colOff>
      <xdr:row>45</xdr:row>
      <xdr:rowOff>120957</xdr:rowOff>
    </xdr:to>
    <xdr:graphicFrame macro="">
      <xdr:nvGraphicFramePr>
        <xdr:cNvPr id="67" name="Chart 66">
          <a:extLst>
            <a:ext uri="{FF2B5EF4-FFF2-40B4-BE49-F238E27FC236}">
              <a16:creationId xmlns:a16="http://schemas.microsoft.com/office/drawing/2014/main" id="{1F228C47-50DC-D643-9FBE-1EF130FA0E7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261388</xdr:colOff>
      <xdr:row>30</xdr:row>
      <xdr:rowOff>834</xdr:rowOff>
    </xdr:from>
    <xdr:to>
      <xdr:col>4</xdr:col>
      <xdr:colOff>583064</xdr:colOff>
      <xdr:row>33</xdr:row>
      <xdr:rowOff>67251</xdr:rowOff>
    </xdr:to>
    <xdr:sp macro="" textlink="">
      <xdr:nvSpPr>
        <xdr:cNvPr id="71" name="TextBox 70">
          <a:extLst>
            <a:ext uri="{FF2B5EF4-FFF2-40B4-BE49-F238E27FC236}">
              <a16:creationId xmlns:a16="http://schemas.microsoft.com/office/drawing/2014/main" id="{C5FB0567-4602-0C49-96D9-98CDAD2C9AEA}"/>
            </a:ext>
          </a:extLst>
        </xdr:cNvPr>
        <xdr:cNvSpPr txBox="1">
          <a:spLocks noChangeAspect="1"/>
        </xdr:cNvSpPr>
      </xdr:nvSpPr>
      <xdr:spPr>
        <a:xfrm>
          <a:off x="261388" y="5334834"/>
          <a:ext cx="3623676" cy="5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WORK LOCATION</a:t>
          </a:r>
          <a:endPar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0</xdr:col>
      <xdr:colOff>255043</xdr:colOff>
      <xdr:row>32</xdr:row>
      <xdr:rowOff>3363</xdr:rowOff>
    </xdr:from>
    <xdr:to>
      <xdr:col>4</xdr:col>
      <xdr:colOff>576719</xdr:colOff>
      <xdr:row>33</xdr:row>
      <xdr:rowOff>171619</xdr:rowOff>
    </xdr:to>
    <xdr:sp macro="" textlink="">
      <xdr:nvSpPr>
        <xdr:cNvPr id="72" name="TextBox 71">
          <a:extLst>
            <a:ext uri="{FF2B5EF4-FFF2-40B4-BE49-F238E27FC236}">
              <a16:creationId xmlns:a16="http://schemas.microsoft.com/office/drawing/2014/main" id="{C561586B-57DE-484A-B75B-7222A0DBC206}"/>
            </a:ext>
          </a:extLst>
        </xdr:cNvPr>
        <xdr:cNvSpPr txBox="1">
          <a:spLocks noChangeAspect="1"/>
        </xdr:cNvSpPr>
      </xdr:nvSpPr>
      <xdr:spPr>
        <a:xfrm>
          <a:off x="255043" y="5692963"/>
          <a:ext cx="3623676" cy="346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Employees by workplace</a:t>
          </a:r>
        </a:p>
      </xdr:txBody>
    </xdr:sp>
    <xdr:clientData/>
  </xdr:twoCellAnchor>
  <xdr:twoCellAnchor>
    <xdr:from>
      <xdr:col>0</xdr:col>
      <xdr:colOff>483810</xdr:colOff>
      <xdr:row>35</xdr:row>
      <xdr:rowOff>26393</xdr:rowOff>
    </xdr:from>
    <xdr:to>
      <xdr:col>4</xdr:col>
      <xdr:colOff>317495</xdr:colOff>
      <xdr:row>36</xdr:row>
      <xdr:rowOff>161859</xdr:rowOff>
    </xdr:to>
    <xdr:sp macro="" textlink="PivotTables!N12">
      <xdr:nvSpPr>
        <xdr:cNvPr id="73" name="TextBox 72">
          <a:extLst>
            <a:ext uri="{FF2B5EF4-FFF2-40B4-BE49-F238E27FC236}">
              <a16:creationId xmlns:a16="http://schemas.microsoft.com/office/drawing/2014/main" id="{2C708ABE-FF6D-2341-BEFF-0783B7C72EEE}"/>
            </a:ext>
          </a:extLst>
        </xdr:cNvPr>
        <xdr:cNvSpPr txBox="1">
          <a:spLocks noChangeAspect="1"/>
        </xdr:cNvSpPr>
      </xdr:nvSpPr>
      <xdr:spPr>
        <a:xfrm>
          <a:off x="483810" y="6183969"/>
          <a:ext cx="3132386" cy="311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6157BCCB-73FF-9A46-B706-1BE9EF85DA5E}" type="TxLink">
            <a:rPr lang="en-US" sz="1800" b="1" i="0" u="none" strike="noStrike">
              <a:solidFill>
                <a:srgbClr val="000000"/>
              </a:solidFill>
              <a:latin typeface="Aptos Narrow"/>
              <a:cs typeface="Arial" panose="020B0604020202020204" pitchFamily="34" charset="0"/>
            </a:rPr>
            <a:t>Branch Office</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483810</xdr:colOff>
      <xdr:row>38</xdr:row>
      <xdr:rowOff>27132</xdr:rowOff>
    </xdr:from>
    <xdr:to>
      <xdr:col>4</xdr:col>
      <xdr:colOff>317495</xdr:colOff>
      <xdr:row>39</xdr:row>
      <xdr:rowOff>162598</xdr:rowOff>
    </xdr:to>
    <xdr:sp macro="" textlink="PivotTables!N13">
      <xdr:nvSpPr>
        <xdr:cNvPr id="74" name="TextBox 73">
          <a:extLst>
            <a:ext uri="{FF2B5EF4-FFF2-40B4-BE49-F238E27FC236}">
              <a16:creationId xmlns:a16="http://schemas.microsoft.com/office/drawing/2014/main" id="{60ED82E2-C2BC-074E-ADB0-69B69A511552}"/>
            </a:ext>
          </a:extLst>
        </xdr:cNvPr>
        <xdr:cNvSpPr txBox="1">
          <a:spLocks noChangeAspect="1"/>
        </xdr:cNvSpPr>
      </xdr:nvSpPr>
      <xdr:spPr>
        <a:xfrm>
          <a:off x="483810" y="6712500"/>
          <a:ext cx="3132386" cy="311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B0723FB6-5888-7E4A-B285-F7141E3F8B99}" type="TxLink">
            <a:rPr lang="en-US" sz="1800" b="1" i="0" u="none" strike="noStrike">
              <a:solidFill>
                <a:srgbClr val="000000"/>
              </a:solidFill>
              <a:latin typeface="Aptos Narrow"/>
              <a:cs typeface="Arial" panose="020B0604020202020204" pitchFamily="34" charset="0"/>
            </a:rPr>
            <a:t>Head Office</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483810</xdr:colOff>
      <xdr:row>41</xdr:row>
      <xdr:rowOff>27871</xdr:rowOff>
    </xdr:from>
    <xdr:to>
      <xdr:col>4</xdr:col>
      <xdr:colOff>317495</xdr:colOff>
      <xdr:row>42</xdr:row>
      <xdr:rowOff>163337</xdr:rowOff>
    </xdr:to>
    <xdr:sp macro="" textlink="PivotTables!N14">
      <xdr:nvSpPr>
        <xdr:cNvPr id="75" name="TextBox 74">
          <a:extLst>
            <a:ext uri="{FF2B5EF4-FFF2-40B4-BE49-F238E27FC236}">
              <a16:creationId xmlns:a16="http://schemas.microsoft.com/office/drawing/2014/main" id="{32F40395-91C2-F24D-B062-84C8223E829A}"/>
            </a:ext>
          </a:extLst>
        </xdr:cNvPr>
        <xdr:cNvSpPr txBox="1">
          <a:spLocks noChangeAspect="1"/>
        </xdr:cNvSpPr>
      </xdr:nvSpPr>
      <xdr:spPr>
        <a:xfrm>
          <a:off x="483810" y="7241031"/>
          <a:ext cx="3132386" cy="311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BC56E65E-A99D-374A-914D-CA62CE07F90D}" type="TxLink">
            <a:rPr lang="en-US" sz="1800" b="1" i="0" u="none" strike="noStrike">
              <a:solidFill>
                <a:srgbClr val="000000"/>
              </a:solidFill>
              <a:latin typeface="Aptos Narrow"/>
              <a:cs typeface="Arial" panose="020B0604020202020204" pitchFamily="34" charset="0"/>
            </a:rPr>
            <a:t>Remote</a:t>
          </a:fld>
          <a:endParaRPr lang="en-US" sz="3200" b="1">
            <a:latin typeface="Arial" panose="020B0604020202020204" pitchFamily="34" charset="0"/>
            <a:cs typeface="Arial" panose="020B0604020202020204" pitchFamily="34" charset="0"/>
          </a:endParaRPr>
        </a:p>
      </xdr:txBody>
    </xdr:sp>
    <xdr:clientData/>
  </xdr:twoCellAnchor>
  <xdr:twoCellAnchor>
    <xdr:from>
      <xdr:col>3</xdr:col>
      <xdr:colOff>397338</xdr:colOff>
      <xdr:row>36</xdr:row>
      <xdr:rowOff>98159</xdr:rowOff>
    </xdr:from>
    <xdr:to>
      <xdr:col>4</xdr:col>
      <xdr:colOff>276159</xdr:colOff>
      <xdr:row>38</xdr:row>
      <xdr:rowOff>55825</xdr:rowOff>
    </xdr:to>
    <xdr:sp macro="" textlink="PivotTables!N17">
      <xdr:nvSpPr>
        <xdr:cNvPr id="76" name="TextBox 75">
          <a:extLst>
            <a:ext uri="{FF2B5EF4-FFF2-40B4-BE49-F238E27FC236}">
              <a16:creationId xmlns:a16="http://schemas.microsoft.com/office/drawing/2014/main" id="{668BA09D-EEAF-3F42-970F-B07504E605AE}"/>
            </a:ext>
          </a:extLst>
        </xdr:cNvPr>
        <xdr:cNvSpPr txBox="1">
          <a:spLocks noChangeAspect="1"/>
        </xdr:cNvSpPr>
      </xdr:nvSpPr>
      <xdr:spPr>
        <a:xfrm>
          <a:off x="2869785" y="6421138"/>
          <a:ext cx="702970" cy="308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7B83D170-74C2-3442-9FBC-9A45B586BD4B}" type="TxLink">
            <a:rPr lang="en-US" sz="1800" b="1" i="0" u="none" strike="noStrike">
              <a:solidFill>
                <a:srgbClr val="000000"/>
              </a:solidFill>
              <a:latin typeface="Aptos Narrow"/>
              <a:cs typeface="Arial" panose="020B0604020202020204" pitchFamily="34" charset="0"/>
            </a:rPr>
            <a:t>46%</a:t>
          </a:fld>
          <a:endParaRPr lang="en-US" sz="4800" b="1">
            <a:latin typeface="Arial" panose="020B0604020202020204" pitchFamily="34" charset="0"/>
            <a:cs typeface="Arial" panose="020B0604020202020204" pitchFamily="34" charset="0"/>
          </a:endParaRPr>
        </a:p>
      </xdr:txBody>
    </xdr:sp>
    <xdr:clientData/>
  </xdr:twoCellAnchor>
  <xdr:twoCellAnchor>
    <xdr:from>
      <xdr:col>3</xdr:col>
      <xdr:colOff>397338</xdr:colOff>
      <xdr:row>39</xdr:row>
      <xdr:rowOff>98898</xdr:rowOff>
    </xdr:from>
    <xdr:to>
      <xdr:col>4</xdr:col>
      <xdr:colOff>276159</xdr:colOff>
      <xdr:row>41</xdr:row>
      <xdr:rowOff>56564</xdr:rowOff>
    </xdr:to>
    <xdr:sp macro="" textlink="PivotTables!N18">
      <xdr:nvSpPr>
        <xdr:cNvPr id="77" name="TextBox 76">
          <a:extLst>
            <a:ext uri="{FF2B5EF4-FFF2-40B4-BE49-F238E27FC236}">
              <a16:creationId xmlns:a16="http://schemas.microsoft.com/office/drawing/2014/main" id="{5D8330D7-E733-814A-89EB-32BBAECFDABB}"/>
            </a:ext>
          </a:extLst>
        </xdr:cNvPr>
        <xdr:cNvSpPr txBox="1">
          <a:spLocks noChangeAspect="1"/>
        </xdr:cNvSpPr>
      </xdr:nvSpPr>
      <xdr:spPr>
        <a:xfrm>
          <a:off x="2869785" y="6948792"/>
          <a:ext cx="702970" cy="308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00293DE4-4EBA-3B4A-80C7-75E122D12ABF}" type="TxLink">
            <a:rPr lang="en-US" sz="1800" b="1" i="0" u="none" strike="noStrike">
              <a:solidFill>
                <a:srgbClr val="000000"/>
              </a:solidFill>
              <a:latin typeface="Aptos Narrow"/>
              <a:cs typeface="Arial" panose="020B0604020202020204" pitchFamily="34" charset="0"/>
            </a:rPr>
            <a:t>16%</a:t>
          </a:fld>
          <a:endParaRPr lang="en-US" sz="4800" b="1">
            <a:latin typeface="Arial" panose="020B0604020202020204" pitchFamily="34" charset="0"/>
            <a:cs typeface="Arial" panose="020B0604020202020204" pitchFamily="34" charset="0"/>
          </a:endParaRPr>
        </a:p>
      </xdr:txBody>
    </xdr:sp>
    <xdr:clientData/>
  </xdr:twoCellAnchor>
  <xdr:twoCellAnchor>
    <xdr:from>
      <xdr:col>3</xdr:col>
      <xdr:colOff>397338</xdr:colOff>
      <xdr:row>42</xdr:row>
      <xdr:rowOff>99637</xdr:rowOff>
    </xdr:from>
    <xdr:to>
      <xdr:col>4</xdr:col>
      <xdr:colOff>276159</xdr:colOff>
      <xdr:row>44</xdr:row>
      <xdr:rowOff>57303</xdr:rowOff>
    </xdr:to>
    <xdr:sp macro="" textlink="PivotTables!N19">
      <xdr:nvSpPr>
        <xdr:cNvPr id="78" name="TextBox 77">
          <a:extLst>
            <a:ext uri="{FF2B5EF4-FFF2-40B4-BE49-F238E27FC236}">
              <a16:creationId xmlns:a16="http://schemas.microsoft.com/office/drawing/2014/main" id="{F05227AF-B0A3-2446-9756-020249717FE1}"/>
            </a:ext>
          </a:extLst>
        </xdr:cNvPr>
        <xdr:cNvSpPr txBox="1">
          <a:spLocks noChangeAspect="1"/>
        </xdr:cNvSpPr>
      </xdr:nvSpPr>
      <xdr:spPr>
        <a:xfrm>
          <a:off x="2869785" y="7476446"/>
          <a:ext cx="702970" cy="308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5080BF91-A7DE-9448-8381-B1C7F1815550}" type="TxLink">
            <a:rPr lang="en-US" sz="1800" b="1" i="0" u="none" strike="noStrike">
              <a:solidFill>
                <a:srgbClr val="000000"/>
              </a:solidFill>
              <a:latin typeface="Aptos Narrow"/>
              <a:cs typeface="Arial" panose="020B0604020202020204" pitchFamily="34" charset="0"/>
            </a:rPr>
            <a:t>38%</a:t>
          </a:fld>
          <a:endParaRPr lang="en-US" sz="4800" b="1">
            <a:latin typeface="Arial" panose="020B0604020202020204" pitchFamily="34" charset="0"/>
            <a:cs typeface="Arial" panose="020B0604020202020204" pitchFamily="34" charset="0"/>
          </a:endParaRPr>
        </a:p>
      </xdr:txBody>
    </xdr:sp>
    <xdr:clientData/>
  </xdr:twoCellAnchor>
  <xdr:twoCellAnchor>
    <xdr:from>
      <xdr:col>0</xdr:col>
      <xdr:colOff>540004</xdr:colOff>
      <xdr:row>18</xdr:row>
      <xdr:rowOff>42329</xdr:rowOff>
    </xdr:from>
    <xdr:to>
      <xdr:col>2</xdr:col>
      <xdr:colOff>649327</xdr:colOff>
      <xdr:row>19</xdr:row>
      <xdr:rowOff>177795</xdr:rowOff>
    </xdr:to>
    <xdr:sp macro="" textlink="PivotTables!Q14">
      <xdr:nvSpPr>
        <xdr:cNvPr id="79" name="TextBox 78">
          <a:extLst>
            <a:ext uri="{FF2B5EF4-FFF2-40B4-BE49-F238E27FC236}">
              <a16:creationId xmlns:a16="http://schemas.microsoft.com/office/drawing/2014/main" id="{5F3A3FF3-298C-6542-87BF-F15FE89DF676}"/>
            </a:ext>
          </a:extLst>
        </xdr:cNvPr>
        <xdr:cNvSpPr txBox="1">
          <a:spLocks noChangeAspect="1"/>
        </xdr:cNvSpPr>
      </xdr:nvSpPr>
      <xdr:spPr>
        <a:xfrm>
          <a:off x="540004" y="3308043"/>
          <a:ext cx="1751729" cy="316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E8FBE97D-27FD-D74D-8337-4960E98F9FD3}" type="TxLink">
            <a:rPr lang="en-US" sz="1800" b="1" i="0" u="none" strike="noStrike">
              <a:solidFill>
                <a:srgbClr val="000000"/>
              </a:solidFill>
              <a:latin typeface="Arial" panose="020B0604020202020204" pitchFamily="34" charset="0"/>
              <a:cs typeface="Arial" panose="020B0604020202020204" pitchFamily="34" charset="0"/>
            </a:rPr>
            <a:t>Communication</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540004</xdr:colOff>
      <xdr:row>20</xdr:row>
      <xdr:rowOff>25396</xdr:rowOff>
    </xdr:from>
    <xdr:to>
      <xdr:col>2</xdr:col>
      <xdr:colOff>649327</xdr:colOff>
      <xdr:row>21</xdr:row>
      <xdr:rowOff>160862</xdr:rowOff>
    </xdr:to>
    <xdr:sp macro="" textlink="PivotTables!Q15">
      <xdr:nvSpPr>
        <xdr:cNvPr id="80" name="TextBox 79">
          <a:extLst>
            <a:ext uri="{FF2B5EF4-FFF2-40B4-BE49-F238E27FC236}">
              <a16:creationId xmlns:a16="http://schemas.microsoft.com/office/drawing/2014/main" id="{C77BE711-EC9F-7F42-925D-22A1723F20DD}"/>
            </a:ext>
          </a:extLst>
        </xdr:cNvPr>
        <xdr:cNvSpPr txBox="1">
          <a:spLocks noChangeAspect="1"/>
        </xdr:cNvSpPr>
      </xdr:nvSpPr>
      <xdr:spPr>
        <a:xfrm>
          <a:off x="540004" y="3653967"/>
          <a:ext cx="1751729" cy="316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3EC248C8-0E08-DA4C-BF32-DB9098679CAC}" type="TxLink">
            <a:rPr lang="en-US" sz="1800" b="1" i="0" u="none" strike="noStrike">
              <a:solidFill>
                <a:srgbClr val="000000"/>
              </a:solidFill>
              <a:latin typeface="Arial" panose="020B0604020202020204" pitchFamily="34" charset="0"/>
              <a:cs typeface="Arial" panose="020B0604020202020204" pitchFamily="34" charset="0"/>
            </a:rPr>
            <a:t>Design</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540004</xdr:colOff>
      <xdr:row>22</xdr:row>
      <xdr:rowOff>10366</xdr:rowOff>
    </xdr:from>
    <xdr:to>
      <xdr:col>2</xdr:col>
      <xdr:colOff>649327</xdr:colOff>
      <xdr:row>23</xdr:row>
      <xdr:rowOff>145832</xdr:rowOff>
    </xdr:to>
    <xdr:sp macro="" textlink="PivotTables!Q16">
      <xdr:nvSpPr>
        <xdr:cNvPr id="81" name="TextBox 80">
          <a:extLst>
            <a:ext uri="{FF2B5EF4-FFF2-40B4-BE49-F238E27FC236}">
              <a16:creationId xmlns:a16="http://schemas.microsoft.com/office/drawing/2014/main" id="{0576778C-1047-7849-A7EF-4FFB9B0AE527}"/>
            </a:ext>
          </a:extLst>
        </xdr:cNvPr>
        <xdr:cNvSpPr txBox="1">
          <a:spLocks noChangeAspect="1"/>
        </xdr:cNvSpPr>
      </xdr:nvSpPr>
      <xdr:spPr>
        <a:xfrm>
          <a:off x="540004" y="4001795"/>
          <a:ext cx="1751729" cy="316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7FFFC53D-EB3E-AD4C-9F8F-E596230C797E}" type="TxLink">
            <a:rPr lang="en-US" sz="1800" b="1" i="0" u="none" strike="noStrike">
              <a:solidFill>
                <a:srgbClr val="000000"/>
              </a:solidFill>
              <a:latin typeface="Arial" panose="020B0604020202020204" pitchFamily="34" charset="0"/>
              <a:cs typeface="Arial" panose="020B0604020202020204" pitchFamily="34" charset="0"/>
            </a:rPr>
            <a:t>Excel</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540004</xdr:colOff>
      <xdr:row>24</xdr:row>
      <xdr:rowOff>1430</xdr:rowOff>
    </xdr:from>
    <xdr:to>
      <xdr:col>2</xdr:col>
      <xdr:colOff>649327</xdr:colOff>
      <xdr:row>25</xdr:row>
      <xdr:rowOff>136896</xdr:rowOff>
    </xdr:to>
    <xdr:sp macro="" textlink="PivotTables!Q17">
      <xdr:nvSpPr>
        <xdr:cNvPr id="82" name="TextBox 81">
          <a:extLst>
            <a:ext uri="{FF2B5EF4-FFF2-40B4-BE49-F238E27FC236}">
              <a16:creationId xmlns:a16="http://schemas.microsoft.com/office/drawing/2014/main" id="{26AA540F-FEAD-5F40-AB01-0D91D3DBEBAB}"/>
            </a:ext>
          </a:extLst>
        </xdr:cNvPr>
        <xdr:cNvSpPr txBox="1">
          <a:spLocks noChangeAspect="1"/>
        </xdr:cNvSpPr>
      </xdr:nvSpPr>
      <xdr:spPr>
        <a:xfrm>
          <a:off x="540004" y="4355716"/>
          <a:ext cx="1751729" cy="316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5A97CFF9-F071-0A40-9908-D757AFE394C7}" type="TxLink">
            <a:rPr lang="en-US" sz="1800" b="1" i="0" u="none" strike="noStrike">
              <a:solidFill>
                <a:srgbClr val="000000"/>
              </a:solidFill>
              <a:latin typeface="Arial" panose="020B0604020202020204" pitchFamily="34" charset="0"/>
              <a:cs typeface="Arial" panose="020B0604020202020204" pitchFamily="34" charset="0"/>
            </a:rPr>
            <a:t>Management</a:t>
          </a:fld>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540004</xdr:colOff>
      <xdr:row>25</xdr:row>
      <xdr:rowOff>157883</xdr:rowOff>
    </xdr:from>
    <xdr:to>
      <xdr:col>2</xdr:col>
      <xdr:colOff>649327</xdr:colOff>
      <xdr:row>27</xdr:row>
      <xdr:rowOff>115549</xdr:rowOff>
    </xdr:to>
    <xdr:sp macro="" textlink="PivotTables!Q18">
      <xdr:nvSpPr>
        <xdr:cNvPr id="83" name="TextBox 82">
          <a:extLst>
            <a:ext uri="{FF2B5EF4-FFF2-40B4-BE49-F238E27FC236}">
              <a16:creationId xmlns:a16="http://schemas.microsoft.com/office/drawing/2014/main" id="{3584B447-9999-C649-BB51-743F8B7F7E1F}"/>
            </a:ext>
          </a:extLst>
        </xdr:cNvPr>
        <xdr:cNvSpPr txBox="1">
          <a:spLocks noChangeAspect="1"/>
        </xdr:cNvSpPr>
      </xdr:nvSpPr>
      <xdr:spPr>
        <a:xfrm>
          <a:off x="540004" y="4693597"/>
          <a:ext cx="1751729" cy="32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DE4458C9-AAA5-8B46-B467-96639BE3F0D1}" type="TxLink">
            <a:rPr lang="en-US" sz="1800" b="1" i="0" u="none" strike="noStrike">
              <a:solidFill>
                <a:srgbClr val="000000"/>
              </a:solidFill>
              <a:latin typeface="Arial" panose="020B0604020202020204" pitchFamily="34" charset="0"/>
              <a:cs typeface="Arial" panose="020B0604020202020204" pitchFamily="34" charset="0"/>
            </a:rPr>
            <a:t>Python</a:t>
          </a:fld>
          <a:endParaRPr lang="en-US" sz="3200" b="1">
            <a:latin typeface="Arial" panose="020B0604020202020204" pitchFamily="34" charset="0"/>
            <a:cs typeface="Arial" panose="020B0604020202020204" pitchFamily="34" charset="0"/>
          </a:endParaRPr>
        </a:p>
      </xdr:txBody>
    </xdr:sp>
    <xdr:clientData/>
  </xdr:twoCellAnchor>
  <xdr:twoCellAnchor>
    <xdr:from>
      <xdr:col>2</xdr:col>
      <xdr:colOff>358574</xdr:colOff>
      <xdr:row>18</xdr:row>
      <xdr:rowOff>15211</xdr:rowOff>
    </xdr:from>
    <xdr:to>
      <xdr:col>3</xdr:col>
      <xdr:colOff>611128</xdr:colOff>
      <xdr:row>19</xdr:row>
      <xdr:rowOff>150677</xdr:rowOff>
    </xdr:to>
    <xdr:sp macro="" textlink="PivotTables!R14">
      <xdr:nvSpPr>
        <xdr:cNvPr id="84" name="TextBox 83">
          <a:extLst>
            <a:ext uri="{FF2B5EF4-FFF2-40B4-BE49-F238E27FC236}">
              <a16:creationId xmlns:a16="http://schemas.microsoft.com/office/drawing/2014/main" id="{281E8C91-2899-C447-BB46-9A3EEC8808EC}"/>
            </a:ext>
          </a:extLst>
        </xdr:cNvPr>
        <xdr:cNvSpPr txBox="1">
          <a:spLocks noChangeAspect="1"/>
        </xdr:cNvSpPr>
      </xdr:nvSpPr>
      <xdr:spPr>
        <a:xfrm>
          <a:off x="2000980" y="3280925"/>
          <a:ext cx="1073757" cy="316895"/>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CC160D97-46F5-A748-B62F-83002FC36109}" type="TxLink">
            <a:rPr lang="en-US" sz="2400" b="1" i="0" u="none" strike="noStrike">
              <a:solidFill>
                <a:schemeClr val="bg1"/>
              </a:solidFill>
              <a:latin typeface="Arial" panose="020B0604020202020204" pitchFamily="34" charset="0"/>
              <a:cs typeface="Arial" panose="020B0604020202020204" pitchFamily="34" charset="0"/>
            </a:rPr>
            <a:pPr algn="r"/>
            <a:t>12</a:t>
          </a:fld>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358574</xdr:colOff>
      <xdr:row>19</xdr:row>
      <xdr:rowOff>179706</xdr:rowOff>
    </xdr:from>
    <xdr:to>
      <xdr:col>3</xdr:col>
      <xdr:colOff>611128</xdr:colOff>
      <xdr:row>21</xdr:row>
      <xdr:rowOff>133744</xdr:rowOff>
    </xdr:to>
    <xdr:sp macro="" textlink="PivotTables!R15">
      <xdr:nvSpPr>
        <xdr:cNvPr id="85" name="TextBox 84">
          <a:extLst>
            <a:ext uri="{FF2B5EF4-FFF2-40B4-BE49-F238E27FC236}">
              <a16:creationId xmlns:a16="http://schemas.microsoft.com/office/drawing/2014/main" id="{87C63E55-E3AC-0640-8FD2-92FB51F8EA69}"/>
            </a:ext>
          </a:extLst>
        </xdr:cNvPr>
        <xdr:cNvSpPr txBox="1">
          <a:spLocks noChangeAspect="1"/>
        </xdr:cNvSpPr>
      </xdr:nvSpPr>
      <xdr:spPr>
        <a:xfrm>
          <a:off x="2000980" y="3626849"/>
          <a:ext cx="1073757" cy="316895"/>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F1A53AC6-40CA-DE4A-BE1A-EEDE59B128CE}" type="TxLink">
            <a:rPr lang="en-US" sz="2400" b="1" i="0" u="none" strike="noStrike">
              <a:solidFill>
                <a:schemeClr val="bg1"/>
              </a:solidFill>
              <a:latin typeface="Arial" panose="020B0604020202020204" pitchFamily="34" charset="0"/>
              <a:cs typeface="Arial" panose="020B0604020202020204" pitchFamily="34" charset="0"/>
            </a:rPr>
            <a:pPr algn="r"/>
            <a:t>11</a:t>
          </a:fld>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358574</xdr:colOff>
      <xdr:row>21</xdr:row>
      <xdr:rowOff>164677</xdr:rowOff>
    </xdr:from>
    <xdr:to>
      <xdr:col>3</xdr:col>
      <xdr:colOff>611128</xdr:colOff>
      <xdr:row>23</xdr:row>
      <xdr:rowOff>118714</xdr:rowOff>
    </xdr:to>
    <xdr:sp macro="" textlink="PivotTables!R16">
      <xdr:nvSpPr>
        <xdr:cNvPr id="86" name="TextBox 85">
          <a:extLst>
            <a:ext uri="{FF2B5EF4-FFF2-40B4-BE49-F238E27FC236}">
              <a16:creationId xmlns:a16="http://schemas.microsoft.com/office/drawing/2014/main" id="{B06789F2-472E-334F-8F2C-B2F4829221C7}"/>
            </a:ext>
          </a:extLst>
        </xdr:cNvPr>
        <xdr:cNvSpPr txBox="1">
          <a:spLocks noChangeAspect="1"/>
        </xdr:cNvSpPr>
      </xdr:nvSpPr>
      <xdr:spPr>
        <a:xfrm>
          <a:off x="2000980" y="3974677"/>
          <a:ext cx="1073757" cy="316894"/>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167A845D-0596-AD45-BEBB-9A87CF9A5AB9}" type="TxLink">
            <a:rPr lang="en-US" sz="2400" b="1" i="0" u="none" strike="noStrike">
              <a:solidFill>
                <a:schemeClr val="bg1"/>
              </a:solidFill>
              <a:latin typeface="Arial" panose="020B0604020202020204" pitchFamily="34" charset="0"/>
              <a:cs typeface="Arial" panose="020B0604020202020204" pitchFamily="34" charset="0"/>
            </a:rPr>
            <a:pPr algn="r"/>
            <a:t>7</a:t>
          </a:fld>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358574</xdr:colOff>
      <xdr:row>23</xdr:row>
      <xdr:rowOff>155741</xdr:rowOff>
    </xdr:from>
    <xdr:to>
      <xdr:col>3</xdr:col>
      <xdr:colOff>611128</xdr:colOff>
      <xdr:row>25</xdr:row>
      <xdr:rowOff>109778</xdr:rowOff>
    </xdr:to>
    <xdr:sp macro="" textlink="PivotTables!R17">
      <xdr:nvSpPr>
        <xdr:cNvPr id="87" name="TextBox 86">
          <a:extLst>
            <a:ext uri="{FF2B5EF4-FFF2-40B4-BE49-F238E27FC236}">
              <a16:creationId xmlns:a16="http://schemas.microsoft.com/office/drawing/2014/main" id="{AA1CA50E-E469-F747-9DAD-DC52F56E11E8}"/>
            </a:ext>
          </a:extLst>
        </xdr:cNvPr>
        <xdr:cNvSpPr txBox="1">
          <a:spLocks noChangeAspect="1"/>
        </xdr:cNvSpPr>
      </xdr:nvSpPr>
      <xdr:spPr>
        <a:xfrm>
          <a:off x="2000980" y="4328598"/>
          <a:ext cx="1073757" cy="316894"/>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21BE5CB4-D6A6-3B4D-B0FD-F9BD5507CD83}" type="TxLink">
            <a:rPr lang="en-US" sz="2400" b="1" i="0" u="none" strike="noStrike">
              <a:solidFill>
                <a:schemeClr val="bg1"/>
              </a:solidFill>
              <a:latin typeface="Arial" panose="020B0604020202020204" pitchFamily="34" charset="0"/>
              <a:cs typeface="Arial" panose="020B0604020202020204" pitchFamily="34" charset="0"/>
            </a:rPr>
            <a:pPr algn="r"/>
            <a:t>11</a:t>
          </a:fld>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358574</xdr:colOff>
      <xdr:row>25</xdr:row>
      <xdr:rowOff>130765</xdr:rowOff>
    </xdr:from>
    <xdr:to>
      <xdr:col>3</xdr:col>
      <xdr:colOff>611128</xdr:colOff>
      <xdr:row>27</xdr:row>
      <xdr:rowOff>88431</xdr:rowOff>
    </xdr:to>
    <xdr:sp macro="" textlink="PivotTables!R18">
      <xdr:nvSpPr>
        <xdr:cNvPr id="88" name="TextBox 87">
          <a:extLst>
            <a:ext uri="{FF2B5EF4-FFF2-40B4-BE49-F238E27FC236}">
              <a16:creationId xmlns:a16="http://schemas.microsoft.com/office/drawing/2014/main" id="{3E64D2C6-7B9D-3643-B485-05DA4A2AD1FB}"/>
            </a:ext>
          </a:extLst>
        </xdr:cNvPr>
        <xdr:cNvSpPr txBox="1">
          <a:spLocks noChangeAspect="1"/>
        </xdr:cNvSpPr>
      </xdr:nvSpPr>
      <xdr:spPr>
        <a:xfrm>
          <a:off x="2000980" y="4666479"/>
          <a:ext cx="1073757" cy="320523"/>
        </a:xfrm>
        <a:prstGeom prst="rect">
          <a:avLst/>
        </a:prstGeom>
        <a:noFill/>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78E902E7-8875-8146-8573-CD522CE952A3}" type="TxLink">
            <a:rPr lang="en-US" sz="2400" b="1" i="0" u="none" strike="noStrike">
              <a:solidFill>
                <a:schemeClr val="bg1"/>
              </a:solidFill>
              <a:latin typeface="Arial" panose="020B0604020202020204" pitchFamily="34" charset="0"/>
              <a:cs typeface="Arial" panose="020B0604020202020204" pitchFamily="34" charset="0"/>
            </a:rPr>
            <a:pPr algn="r"/>
            <a:t>9</a:t>
          </a:fld>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381000</xdr:colOff>
      <xdr:row>13</xdr:row>
      <xdr:rowOff>73405</xdr:rowOff>
    </xdr:from>
    <xdr:to>
      <xdr:col>4</xdr:col>
      <xdr:colOff>200526</xdr:colOff>
      <xdr:row>18</xdr:row>
      <xdr:rowOff>19100</xdr:rowOff>
    </xdr:to>
    <xdr:sp macro="" textlink="">
      <xdr:nvSpPr>
        <xdr:cNvPr id="89" name="TextBox 88">
          <a:extLst>
            <a:ext uri="{FF2B5EF4-FFF2-40B4-BE49-F238E27FC236}">
              <a16:creationId xmlns:a16="http://schemas.microsoft.com/office/drawing/2014/main" id="{72354AD3-8514-5F48-9A84-488FA8FC4EC7}"/>
            </a:ext>
          </a:extLst>
        </xdr:cNvPr>
        <xdr:cNvSpPr txBox="1">
          <a:spLocks noChangeAspect="1"/>
        </xdr:cNvSpPr>
      </xdr:nvSpPr>
      <xdr:spPr>
        <a:xfrm>
          <a:off x="381000" y="2384805"/>
          <a:ext cx="3121526" cy="834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SKILLS</a:t>
          </a:r>
        </a:p>
        <a:p>
          <a:r>
            <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BREAKDOWN</a:t>
          </a:r>
        </a:p>
      </xdr:txBody>
    </xdr:sp>
    <xdr:clientData/>
  </xdr:twoCellAnchor>
  <xdr:twoCellAnchor editAs="oneCell">
    <xdr:from>
      <xdr:col>2</xdr:col>
      <xdr:colOff>340131</xdr:colOff>
      <xdr:row>7</xdr:row>
      <xdr:rowOff>143231</xdr:rowOff>
    </xdr:from>
    <xdr:to>
      <xdr:col>4</xdr:col>
      <xdr:colOff>68466</xdr:colOff>
      <xdr:row>15</xdr:row>
      <xdr:rowOff>66840</xdr:rowOff>
    </xdr:to>
    <xdr:pic>
      <xdr:nvPicPr>
        <xdr:cNvPr id="91" name="Picture 90">
          <a:extLst>
            <a:ext uri="{FF2B5EF4-FFF2-40B4-BE49-F238E27FC236}">
              <a16:creationId xmlns:a16="http://schemas.microsoft.com/office/drawing/2014/main" id="{115EF57B-B87A-4502-357B-EE6AF9F95F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91131" y="1387831"/>
          <a:ext cx="1379335" cy="1346009"/>
        </a:xfrm>
        <a:prstGeom prst="rect">
          <a:avLst/>
        </a:prstGeom>
      </xdr:spPr>
    </xdr:pic>
    <xdr:clientData/>
  </xdr:twoCellAnchor>
  <xdr:twoCellAnchor>
    <xdr:from>
      <xdr:col>5</xdr:col>
      <xdr:colOff>121350</xdr:colOff>
      <xdr:row>7</xdr:row>
      <xdr:rowOff>142127</xdr:rowOff>
    </xdr:from>
    <xdr:to>
      <xdr:col>9</xdr:col>
      <xdr:colOff>443026</xdr:colOff>
      <xdr:row>11</xdr:row>
      <xdr:rowOff>30744</xdr:rowOff>
    </xdr:to>
    <xdr:sp macro="" textlink="">
      <xdr:nvSpPr>
        <xdr:cNvPr id="92" name="TextBox 91">
          <a:extLst>
            <a:ext uri="{FF2B5EF4-FFF2-40B4-BE49-F238E27FC236}">
              <a16:creationId xmlns:a16="http://schemas.microsoft.com/office/drawing/2014/main" id="{576B0CAF-BAF1-3D47-80A1-3FE7CF4F435E}"/>
            </a:ext>
          </a:extLst>
        </xdr:cNvPr>
        <xdr:cNvSpPr txBox="1">
          <a:spLocks noChangeAspect="1"/>
        </xdr:cNvSpPr>
      </xdr:nvSpPr>
      <xdr:spPr>
        <a:xfrm>
          <a:off x="4248850" y="1386727"/>
          <a:ext cx="3623676" cy="5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EMPLOYEE NUMBER</a:t>
          </a:r>
          <a:endParaRPr lang="en-US" sz="20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5</xdr:col>
      <xdr:colOff>393004</xdr:colOff>
      <xdr:row>13</xdr:row>
      <xdr:rowOff>9192</xdr:rowOff>
    </xdr:from>
    <xdr:to>
      <xdr:col>7</xdr:col>
      <xdr:colOff>393700</xdr:colOff>
      <xdr:row>15</xdr:row>
      <xdr:rowOff>27450</xdr:rowOff>
    </xdr:to>
    <xdr:sp macro="" textlink="">
      <xdr:nvSpPr>
        <xdr:cNvPr id="93" name="TextBox 92">
          <a:extLst>
            <a:ext uri="{FF2B5EF4-FFF2-40B4-BE49-F238E27FC236}">
              <a16:creationId xmlns:a16="http://schemas.microsoft.com/office/drawing/2014/main" id="{B263E53A-0F86-094A-A08F-A21D8DCCF569}"/>
            </a:ext>
          </a:extLst>
        </xdr:cNvPr>
        <xdr:cNvSpPr txBox="1">
          <a:spLocks noChangeAspect="1"/>
        </xdr:cNvSpPr>
      </xdr:nvSpPr>
      <xdr:spPr>
        <a:xfrm>
          <a:off x="4520504" y="2320592"/>
          <a:ext cx="1651696" cy="373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400" b="1" baseline="0">
              <a:latin typeface="Arial" panose="020B0604020202020204" pitchFamily="34" charset="0"/>
              <a:cs typeface="Arial" panose="020B0604020202020204" pitchFamily="34" charset="0"/>
            </a:rPr>
            <a:t>Total Employees</a:t>
          </a:r>
        </a:p>
      </xdr:txBody>
    </xdr:sp>
    <xdr:clientData/>
  </xdr:twoCellAnchor>
  <xdr:twoCellAnchor>
    <xdr:from>
      <xdr:col>5</xdr:col>
      <xdr:colOff>603505</xdr:colOff>
      <xdr:row>9</xdr:row>
      <xdr:rowOff>44142</xdr:rowOff>
    </xdr:from>
    <xdr:to>
      <xdr:col>7</xdr:col>
      <xdr:colOff>38101</xdr:colOff>
      <xdr:row>13</xdr:row>
      <xdr:rowOff>139699</xdr:rowOff>
    </xdr:to>
    <xdr:sp macro="" textlink="PivotTables!J23">
      <xdr:nvSpPr>
        <xdr:cNvPr id="94" name="TextBox 93">
          <a:extLst>
            <a:ext uri="{FF2B5EF4-FFF2-40B4-BE49-F238E27FC236}">
              <a16:creationId xmlns:a16="http://schemas.microsoft.com/office/drawing/2014/main" id="{4C7537AA-78A3-8A4A-877E-D823B543C4C6}"/>
            </a:ext>
          </a:extLst>
        </xdr:cNvPr>
        <xdr:cNvSpPr txBox="1">
          <a:spLocks noChangeAspect="1"/>
        </xdr:cNvSpPr>
      </xdr:nvSpPr>
      <xdr:spPr>
        <a:xfrm>
          <a:off x="4731005" y="1644342"/>
          <a:ext cx="1085596" cy="80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96C99A92-1E3C-1444-8E0B-DB4F4BC9136F}" type="TxLink">
            <a:rPr lang="en-US" sz="6600" b="1" i="0" u="none" strike="noStrike">
              <a:solidFill>
                <a:srgbClr val="000000"/>
              </a:solidFill>
              <a:latin typeface="Arial" panose="020B0604020202020204" pitchFamily="34" charset="0"/>
              <a:cs typeface="Arial" panose="020B0604020202020204" pitchFamily="34" charset="0"/>
            </a:rPr>
            <a:t>50</a:t>
          </a:fld>
          <a:endParaRPr lang="en-US" sz="19900" b="1">
            <a:latin typeface="Arial" panose="020B0604020202020204" pitchFamily="34" charset="0"/>
            <a:cs typeface="Arial" panose="020B0604020202020204" pitchFamily="34" charset="0"/>
          </a:endParaRPr>
        </a:p>
      </xdr:txBody>
    </xdr:sp>
    <xdr:clientData/>
  </xdr:twoCellAnchor>
  <xdr:twoCellAnchor editAs="oneCell">
    <xdr:from>
      <xdr:col>7</xdr:col>
      <xdr:colOff>558800</xdr:colOff>
      <xdr:row>9</xdr:row>
      <xdr:rowOff>50800</xdr:rowOff>
    </xdr:from>
    <xdr:to>
      <xdr:col>9</xdr:col>
      <xdr:colOff>0</xdr:colOff>
      <xdr:row>15</xdr:row>
      <xdr:rowOff>76200</xdr:rowOff>
    </xdr:to>
    <xdr:pic>
      <xdr:nvPicPr>
        <xdr:cNvPr id="96" name="Picture 95">
          <a:extLst>
            <a:ext uri="{FF2B5EF4-FFF2-40B4-BE49-F238E27FC236}">
              <a16:creationId xmlns:a16="http://schemas.microsoft.com/office/drawing/2014/main" id="{080E2D5F-3C6E-1B74-5F3B-EE1223E2C9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37300" y="1651000"/>
          <a:ext cx="1092200" cy="1092200"/>
        </a:xfrm>
        <a:prstGeom prst="rect">
          <a:avLst/>
        </a:prstGeom>
      </xdr:spPr>
    </xdr:pic>
    <xdr:clientData/>
  </xdr:twoCellAnchor>
  <xdr:twoCellAnchor>
    <xdr:from>
      <xdr:col>5</xdr:col>
      <xdr:colOff>76200</xdr:colOff>
      <xdr:row>15</xdr:row>
      <xdr:rowOff>127001</xdr:rowOff>
    </xdr:from>
    <xdr:to>
      <xdr:col>7</xdr:col>
      <xdr:colOff>127000</xdr:colOff>
      <xdr:row>19</xdr:row>
      <xdr:rowOff>81545</xdr:rowOff>
    </xdr:to>
    <xdr:sp macro="" textlink="">
      <xdr:nvSpPr>
        <xdr:cNvPr id="97" name="TextBox 96">
          <a:extLst>
            <a:ext uri="{FF2B5EF4-FFF2-40B4-BE49-F238E27FC236}">
              <a16:creationId xmlns:a16="http://schemas.microsoft.com/office/drawing/2014/main" id="{7899C01A-E5B6-9A47-B3B8-83928E741B50}"/>
            </a:ext>
          </a:extLst>
        </xdr:cNvPr>
        <xdr:cNvSpPr txBox="1">
          <a:spLocks noChangeAspect="1"/>
        </xdr:cNvSpPr>
      </xdr:nvSpPr>
      <xdr:spPr>
        <a:xfrm>
          <a:off x="4203700" y="2794001"/>
          <a:ext cx="1701800" cy="665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tx1"/>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MALE</a:t>
          </a:r>
          <a:endParaRPr lang="en-US" sz="2000" b="1" baseline="0">
            <a:solidFill>
              <a:schemeClr val="tx1"/>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7</xdr:col>
      <xdr:colOff>330200</xdr:colOff>
      <xdr:row>15</xdr:row>
      <xdr:rowOff>127001</xdr:rowOff>
    </xdr:from>
    <xdr:to>
      <xdr:col>9</xdr:col>
      <xdr:colOff>393700</xdr:colOff>
      <xdr:row>19</xdr:row>
      <xdr:rowOff>68845</xdr:rowOff>
    </xdr:to>
    <xdr:sp macro="" textlink="">
      <xdr:nvSpPr>
        <xdr:cNvPr id="98" name="TextBox 97">
          <a:extLst>
            <a:ext uri="{FF2B5EF4-FFF2-40B4-BE49-F238E27FC236}">
              <a16:creationId xmlns:a16="http://schemas.microsoft.com/office/drawing/2014/main" id="{B5CBFC47-2356-0F41-9B18-9968835EE87C}"/>
            </a:ext>
          </a:extLst>
        </xdr:cNvPr>
        <xdr:cNvSpPr txBox="1">
          <a:spLocks noChangeAspect="1"/>
        </xdr:cNvSpPr>
      </xdr:nvSpPr>
      <xdr:spPr>
        <a:xfrm>
          <a:off x="6108700" y="2794001"/>
          <a:ext cx="1714500" cy="653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tx1"/>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FEMALE</a:t>
          </a:r>
          <a:endParaRPr lang="en-US" sz="2000" b="1" baseline="0">
            <a:solidFill>
              <a:schemeClr val="tx1"/>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5</xdr:col>
      <xdr:colOff>63500</xdr:colOff>
      <xdr:row>17</xdr:row>
      <xdr:rowOff>0</xdr:rowOff>
    </xdr:from>
    <xdr:to>
      <xdr:col>7</xdr:col>
      <xdr:colOff>152399</xdr:colOff>
      <xdr:row>24</xdr:row>
      <xdr:rowOff>114300</xdr:rowOff>
    </xdr:to>
    <xdr:graphicFrame macro="">
      <xdr:nvGraphicFramePr>
        <xdr:cNvPr id="99" name="Chart 98">
          <a:extLst>
            <a:ext uri="{FF2B5EF4-FFF2-40B4-BE49-F238E27FC236}">
              <a16:creationId xmlns:a16="http://schemas.microsoft.com/office/drawing/2014/main" id="{96040256-B808-4145-A9B4-827796061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431799</xdr:colOff>
      <xdr:row>17</xdr:row>
      <xdr:rowOff>0</xdr:rowOff>
    </xdr:from>
    <xdr:to>
      <xdr:col>9</xdr:col>
      <xdr:colOff>317500</xdr:colOff>
      <xdr:row>24</xdr:row>
      <xdr:rowOff>114300</xdr:rowOff>
    </xdr:to>
    <xdr:graphicFrame macro="">
      <xdr:nvGraphicFramePr>
        <xdr:cNvPr id="100" name="Chart 99">
          <a:extLst>
            <a:ext uri="{FF2B5EF4-FFF2-40B4-BE49-F238E27FC236}">
              <a16:creationId xmlns:a16="http://schemas.microsoft.com/office/drawing/2014/main" id="{268EED63-BDBA-0243-8927-2546EE88F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527305</xdr:colOff>
      <xdr:row>19</xdr:row>
      <xdr:rowOff>171143</xdr:rowOff>
    </xdr:from>
    <xdr:to>
      <xdr:col>6</xdr:col>
      <xdr:colOff>584201</xdr:colOff>
      <xdr:row>21</xdr:row>
      <xdr:rowOff>128809</xdr:rowOff>
    </xdr:to>
    <xdr:sp macro="" textlink="PivotTables!K21">
      <xdr:nvSpPr>
        <xdr:cNvPr id="101" name="TextBox 100">
          <a:extLst>
            <a:ext uri="{FF2B5EF4-FFF2-40B4-BE49-F238E27FC236}">
              <a16:creationId xmlns:a16="http://schemas.microsoft.com/office/drawing/2014/main" id="{44DACFC4-CE61-354A-95B6-0318C963957F}"/>
            </a:ext>
          </a:extLst>
        </xdr:cNvPr>
        <xdr:cNvSpPr txBox="1">
          <a:spLocks noChangeAspect="1"/>
        </xdr:cNvSpPr>
      </xdr:nvSpPr>
      <xdr:spPr>
        <a:xfrm>
          <a:off x="4654805" y="3549343"/>
          <a:ext cx="882396"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946C1CC0-4C0F-1F48-9275-E63AB960B0AE}" type="TxLink">
            <a:rPr lang="en-US" sz="2400" b="1" i="0" u="none" strike="noStrike">
              <a:solidFill>
                <a:schemeClr val="tx1"/>
              </a:solidFill>
              <a:latin typeface="Arial" panose="020B0604020202020204" pitchFamily="34" charset="0"/>
              <a:cs typeface="Arial" panose="020B0604020202020204" pitchFamily="34" charset="0"/>
            </a:rPr>
            <a:t>48%</a:t>
          </a:fld>
          <a:endParaRPr lang="en-US" sz="60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819405</xdr:colOff>
      <xdr:row>19</xdr:row>
      <xdr:rowOff>171143</xdr:rowOff>
    </xdr:from>
    <xdr:to>
      <xdr:col>9</xdr:col>
      <xdr:colOff>50801</xdr:colOff>
      <xdr:row>21</xdr:row>
      <xdr:rowOff>128809</xdr:rowOff>
    </xdr:to>
    <xdr:sp macro="" textlink="PivotTables!K22">
      <xdr:nvSpPr>
        <xdr:cNvPr id="102" name="TextBox 101">
          <a:extLst>
            <a:ext uri="{FF2B5EF4-FFF2-40B4-BE49-F238E27FC236}">
              <a16:creationId xmlns:a16="http://schemas.microsoft.com/office/drawing/2014/main" id="{FCD08BF4-71FF-584B-AB1C-9A8FD275D1CD}"/>
            </a:ext>
          </a:extLst>
        </xdr:cNvPr>
        <xdr:cNvSpPr txBox="1">
          <a:spLocks noChangeAspect="1"/>
        </xdr:cNvSpPr>
      </xdr:nvSpPr>
      <xdr:spPr>
        <a:xfrm>
          <a:off x="6597905" y="3549343"/>
          <a:ext cx="882396"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DC888385-7A29-0542-9C83-B0CD780297C8}" type="TxLink">
            <a:rPr lang="en-US" sz="2400" b="1" i="0" u="none" strike="noStrike">
              <a:solidFill>
                <a:schemeClr val="tx1"/>
              </a:solidFill>
              <a:latin typeface="Arial" panose="020B0604020202020204" pitchFamily="34" charset="0"/>
              <a:cs typeface="Arial" panose="020B0604020202020204" pitchFamily="34" charset="0"/>
            </a:rPr>
            <a:t>52%</a:t>
          </a:fld>
          <a:endParaRPr lang="en-US" sz="138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165421</xdr:colOff>
      <xdr:row>11</xdr:row>
      <xdr:rowOff>25611</xdr:rowOff>
    </xdr:from>
    <xdr:to>
      <xdr:col>14</xdr:col>
      <xdr:colOff>586975</xdr:colOff>
      <xdr:row>22</xdr:row>
      <xdr:rowOff>63711</xdr:rowOff>
    </xdr:to>
    <xdr:graphicFrame macro="">
      <xdr:nvGraphicFramePr>
        <xdr:cNvPr id="103" name="Chart 102">
          <a:extLst>
            <a:ext uri="{FF2B5EF4-FFF2-40B4-BE49-F238E27FC236}">
              <a16:creationId xmlns:a16="http://schemas.microsoft.com/office/drawing/2014/main" id="{92AFC123-134B-824E-8DF9-8AC811715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470563</xdr:colOff>
      <xdr:row>21</xdr:row>
      <xdr:rowOff>115710</xdr:rowOff>
    </xdr:from>
    <xdr:to>
      <xdr:col>11</xdr:col>
      <xdr:colOff>471290</xdr:colOff>
      <xdr:row>23</xdr:row>
      <xdr:rowOff>120921</xdr:rowOff>
    </xdr:to>
    <xdr:sp macro="" textlink="">
      <xdr:nvSpPr>
        <xdr:cNvPr id="104" name="TextBox 103">
          <a:extLst>
            <a:ext uri="{FF2B5EF4-FFF2-40B4-BE49-F238E27FC236}">
              <a16:creationId xmlns:a16="http://schemas.microsoft.com/office/drawing/2014/main" id="{F6867EF1-442E-A140-BAFB-0086EF970B91}"/>
            </a:ext>
          </a:extLst>
        </xdr:cNvPr>
        <xdr:cNvSpPr txBox="1">
          <a:spLocks noChangeAspect="1"/>
        </xdr:cNvSpPr>
      </xdr:nvSpPr>
      <xdr:spPr>
        <a:xfrm>
          <a:off x="8741571" y="3813651"/>
          <a:ext cx="827828" cy="357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Analyst</a:t>
          </a:r>
        </a:p>
      </xdr:txBody>
    </xdr:sp>
    <xdr:clientData/>
  </xdr:twoCellAnchor>
  <xdr:twoCellAnchor>
    <xdr:from>
      <xdr:col>10</xdr:col>
      <xdr:colOff>447491</xdr:colOff>
      <xdr:row>22</xdr:row>
      <xdr:rowOff>87440</xdr:rowOff>
    </xdr:from>
    <xdr:to>
      <xdr:col>10</xdr:col>
      <xdr:colOff>520643</xdr:colOff>
      <xdr:row>22</xdr:row>
      <xdr:rowOff>160592</xdr:rowOff>
    </xdr:to>
    <xdr:sp macro="" textlink="">
      <xdr:nvSpPr>
        <xdr:cNvPr id="105" name="Oval 104">
          <a:extLst>
            <a:ext uri="{FF2B5EF4-FFF2-40B4-BE49-F238E27FC236}">
              <a16:creationId xmlns:a16="http://schemas.microsoft.com/office/drawing/2014/main" id="{B5AF8776-6FD3-5846-A32F-7AB5C4B63291}"/>
            </a:ext>
          </a:extLst>
        </xdr:cNvPr>
        <xdr:cNvSpPr>
          <a:spLocks noChangeAspect="1"/>
        </xdr:cNvSpPr>
      </xdr:nvSpPr>
      <xdr:spPr>
        <a:xfrm>
          <a:off x="8718499" y="3961474"/>
          <a:ext cx="73152" cy="73152"/>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10</xdr:col>
      <xdr:colOff>468216</xdr:colOff>
      <xdr:row>22</xdr:row>
      <xdr:rowOff>118694</xdr:rowOff>
    </xdr:from>
    <xdr:to>
      <xdr:col>11</xdr:col>
      <xdr:colOff>803068</xdr:colOff>
      <xdr:row>24</xdr:row>
      <xdr:rowOff>123906</xdr:rowOff>
    </xdr:to>
    <xdr:sp macro="" textlink="">
      <xdr:nvSpPr>
        <xdr:cNvPr id="106" name="TextBox 105">
          <a:extLst>
            <a:ext uri="{FF2B5EF4-FFF2-40B4-BE49-F238E27FC236}">
              <a16:creationId xmlns:a16="http://schemas.microsoft.com/office/drawing/2014/main" id="{106543B6-A0D4-9D40-A685-8DC883579F4E}"/>
            </a:ext>
          </a:extLst>
        </xdr:cNvPr>
        <xdr:cNvSpPr txBox="1">
          <a:spLocks noChangeAspect="1"/>
        </xdr:cNvSpPr>
      </xdr:nvSpPr>
      <xdr:spPr>
        <a:xfrm>
          <a:off x="8739224" y="3992728"/>
          <a:ext cx="1161953" cy="357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Designer</a:t>
          </a:r>
        </a:p>
      </xdr:txBody>
    </xdr:sp>
    <xdr:clientData/>
  </xdr:twoCellAnchor>
  <xdr:twoCellAnchor>
    <xdr:from>
      <xdr:col>10</xdr:col>
      <xdr:colOff>445145</xdr:colOff>
      <xdr:row>23</xdr:row>
      <xdr:rowOff>90425</xdr:rowOff>
    </xdr:from>
    <xdr:to>
      <xdr:col>10</xdr:col>
      <xdr:colOff>518297</xdr:colOff>
      <xdr:row>23</xdr:row>
      <xdr:rowOff>163577</xdr:rowOff>
    </xdr:to>
    <xdr:sp macro="" textlink="">
      <xdr:nvSpPr>
        <xdr:cNvPr id="107" name="Oval 106">
          <a:extLst>
            <a:ext uri="{FF2B5EF4-FFF2-40B4-BE49-F238E27FC236}">
              <a16:creationId xmlns:a16="http://schemas.microsoft.com/office/drawing/2014/main" id="{480CFE4E-7254-5046-8BD0-557FC65FC491}"/>
            </a:ext>
          </a:extLst>
        </xdr:cNvPr>
        <xdr:cNvSpPr>
          <a:spLocks noChangeAspect="1"/>
        </xdr:cNvSpPr>
      </xdr:nvSpPr>
      <xdr:spPr>
        <a:xfrm>
          <a:off x="8716153" y="4140551"/>
          <a:ext cx="73152" cy="73152"/>
        </a:xfrm>
        <a:prstGeom prst="ellipse">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solidFill>
              <a:schemeClr val="bg2">
                <a:lumMod val="25000"/>
              </a:schemeClr>
            </a:solidFill>
          </a:endParaRPr>
        </a:p>
      </xdr:txBody>
    </xdr:sp>
    <xdr:clientData/>
  </xdr:twoCellAnchor>
  <xdr:twoCellAnchor>
    <xdr:from>
      <xdr:col>11</xdr:col>
      <xdr:colOff>735017</xdr:colOff>
      <xdr:row>21</xdr:row>
      <xdr:rowOff>118699</xdr:rowOff>
    </xdr:from>
    <xdr:to>
      <xdr:col>13</xdr:col>
      <xdr:colOff>110614</xdr:colOff>
      <xdr:row>23</xdr:row>
      <xdr:rowOff>123910</xdr:rowOff>
    </xdr:to>
    <xdr:sp macro="" textlink="">
      <xdr:nvSpPr>
        <xdr:cNvPr id="108" name="TextBox 107">
          <a:extLst>
            <a:ext uri="{FF2B5EF4-FFF2-40B4-BE49-F238E27FC236}">
              <a16:creationId xmlns:a16="http://schemas.microsoft.com/office/drawing/2014/main" id="{246A7FDC-DCA2-F947-9156-992835C5D712}"/>
            </a:ext>
          </a:extLst>
        </xdr:cNvPr>
        <xdr:cNvSpPr txBox="1">
          <a:spLocks noChangeAspect="1"/>
        </xdr:cNvSpPr>
      </xdr:nvSpPr>
      <xdr:spPr>
        <a:xfrm>
          <a:off x="9833126" y="3816640"/>
          <a:ext cx="1029799" cy="357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Developer</a:t>
          </a:r>
        </a:p>
      </xdr:txBody>
    </xdr:sp>
    <xdr:clientData/>
  </xdr:twoCellAnchor>
  <xdr:twoCellAnchor>
    <xdr:from>
      <xdr:col>11</xdr:col>
      <xdr:colOff>711946</xdr:colOff>
      <xdr:row>22</xdr:row>
      <xdr:rowOff>90429</xdr:rowOff>
    </xdr:from>
    <xdr:to>
      <xdr:col>11</xdr:col>
      <xdr:colOff>785098</xdr:colOff>
      <xdr:row>22</xdr:row>
      <xdr:rowOff>163581</xdr:rowOff>
    </xdr:to>
    <xdr:sp macro="" textlink="">
      <xdr:nvSpPr>
        <xdr:cNvPr id="109" name="Oval 108">
          <a:extLst>
            <a:ext uri="{FF2B5EF4-FFF2-40B4-BE49-F238E27FC236}">
              <a16:creationId xmlns:a16="http://schemas.microsoft.com/office/drawing/2014/main" id="{AC4B613F-207A-874C-900E-419BA8114401}"/>
            </a:ext>
          </a:extLst>
        </xdr:cNvPr>
        <xdr:cNvSpPr>
          <a:spLocks noChangeAspect="1"/>
        </xdr:cNvSpPr>
      </xdr:nvSpPr>
      <xdr:spPr>
        <a:xfrm>
          <a:off x="9810055" y="3964463"/>
          <a:ext cx="73152" cy="73152"/>
        </a:xfrm>
        <a:prstGeom prst="ellipse">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11</xdr:col>
      <xdr:colOff>732671</xdr:colOff>
      <xdr:row>22</xdr:row>
      <xdr:rowOff>116351</xdr:rowOff>
    </xdr:from>
    <xdr:to>
      <xdr:col>13</xdr:col>
      <xdr:colOff>302395</xdr:colOff>
      <xdr:row>24</xdr:row>
      <xdr:rowOff>121563</xdr:rowOff>
    </xdr:to>
    <xdr:sp macro="" textlink="">
      <xdr:nvSpPr>
        <xdr:cNvPr id="110" name="TextBox 109">
          <a:extLst>
            <a:ext uri="{FF2B5EF4-FFF2-40B4-BE49-F238E27FC236}">
              <a16:creationId xmlns:a16="http://schemas.microsoft.com/office/drawing/2014/main" id="{6A7AF8E2-C6E2-7648-ABE9-F16C465AC02E}"/>
            </a:ext>
          </a:extLst>
        </xdr:cNvPr>
        <xdr:cNvSpPr txBox="1">
          <a:spLocks noChangeAspect="1"/>
        </xdr:cNvSpPr>
      </xdr:nvSpPr>
      <xdr:spPr>
        <a:xfrm>
          <a:off x="9830780" y="3990385"/>
          <a:ext cx="1223926" cy="357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HR Specialist</a:t>
          </a:r>
        </a:p>
      </xdr:txBody>
    </xdr:sp>
    <xdr:clientData/>
  </xdr:twoCellAnchor>
  <xdr:twoCellAnchor>
    <xdr:from>
      <xdr:col>11</xdr:col>
      <xdr:colOff>709599</xdr:colOff>
      <xdr:row>23</xdr:row>
      <xdr:rowOff>88082</xdr:rowOff>
    </xdr:from>
    <xdr:to>
      <xdr:col>11</xdr:col>
      <xdr:colOff>782751</xdr:colOff>
      <xdr:row>23</xdr:row>
      <xdr:rowOff>161234</xdr:rowOff>
    </xdr:to>
    <xdr:sp macro="" textlink="">
      <xdr:nvSpPr>
        <xdr:cNvPr id="111" name="Oval 110">
          <a:extLst>
            <a:ext uri="{FF2B5EF4-FFF2-40B4-BE49-F238E27FC236}">
              <a16:creationId xmlns:a16="http://schemas.microsoft.com/office/drawing/2014/main" id="{11375649-E141-BB4E-9AF3-B5711DFAFC88}"/>
            </a:ext>
          </a:extLst>
        </xdr:cNvPr>
        <xdr:cNvSpPr>
          <a:spLocks noChangeAspect="1"/>
        </xdr:cNvSpPr>
      </xdr:nvSpPr>
      <xdr:spPr>
        <a:xfrm>
          <a:off x="9807708" y="4138208"/>
          <a:ext cx="73152" cy="73152"/>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13</xdr:col>
      <xdr:colOff>436834</xdr:colOff>
      <xdr:row>21</xdr:row>
      <xdr:rowOff>119338</xdr:rowOff>
    </xdr:from>
    <xdr:to>
      <xdr:col>14</xdr:col>
      <xdr:colOff>437561</xdr:colOff>
      <xdr:row>23</xdr:row>
      <xdr:rowOff>124549</xdr:rowOff>
    </xdr:to>
    <xdr:sp macro="" textlink="">
      <xdr:nvSpPr>
        <xdr:cNvPr id="112" name="TextBox 111">
          <a:extLst>
            <a:ext uri="{FF2B5EF4-FFF2-40B4-BE49-F238E27FC236}">
              <a16:creationId xmlns:a16="http://schemas.microsoft.com/office/drawing/2014/main" id="{3FA5C99C-C82F-F044-8DBF-8A01CBA2E3A9}"/>
            </a:ext>
          </a:extLst>
        </xdr:cNvPr>
        <xdr:cNvSpPr txBox="1">
          <a:spLocks noChangeAspect="1"/>
        </xdr:cNvSpPr>
      </xdr:nvSpPr>
      <xdr:spPr>
        <a:xfrm>
          <a:off x="11189145" y="3817279"/>
          <a:ext cx="827828" cy="357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Manager</a:t>
          </a:r>
        </a:p>
      </xdr:txBody>
    </xdr:sp>
    <xdr:clientData/>
  </xdr:twoCellAnchor>
  <xdr:twoCellAnchor>
    <xdr:from>
      <xdr:col>13</xdr:col>
      <xdr:colOff>413762</xdr:colOff>
      <xdr:row>22</xdr:row>
      <xdr:rowOff>91068</xdr:rowOff>
    </xdr:from>
    <xdr:to>
      <xdr:col>13</xdr:col>
      <xdr:colOff>486914</xdr:colOff>
      <xdr:row>22</xdr:row>
      <xdr:rowOff>164220</xdr:rowOff>
    </xdr:to>
    <xdr:sp macro="" textlink="">
      <xdr:nvSpPr>
        <xdr:cNvPr id="113" name="Oval 112">
          <a:extLst>
            <a:ext uri="{FF2B5EF4-FFF2-40B4-BE49-F238E27FC236}">
              <a16:creationId xmlns:a16="http://schemas.microsoft.com/office/drawing/2014/main" id="{7EFA27B8-B929-B648-B17E-EF82CB3EBB02}"/>
            </a:ext>
          </a:extLst>
        </xdr:cNvPr>
        <xdr:cNvSpPr>
          <a:spLocks noChangeAspect="1"/>
        </xdr:cNvSpPr>
      </xdr:nvSpPr>
      <xdr:spPr>
        <a:xfrm>
          <a:off x="11166073" y="3965102"/>
          <a:ext cx="73152" cy="73152"/>
        </a:xfrm>
        <a:prstGeom prst="ellipse">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10</xdr:col>
      <xdr:colOff>259649</xdr:colOff>
      <xdr:row>7</xdr:row>
      <xdr:rowOff>148903</xdr:rowOff>
    </xdr:from>
    <xdr:to>
      <xdr:col>14</xdr:col>
      <xdr:colOff>581325</xdr:colOff>
      <xdr:row>11</xdr:row>
      <xdr:rowOff>32440</xdr:rowOff>
    </xdr:to>
    <xdr:sp macro="" textlink="">
      <xdr:nvSpPr>
        <xdr:cNvPr id="114" name="TextBox 113">
          <a:extLst>
            <a:ext uri="{FF2B5EF4-FFF2-40B4-BE49-F238E27FC236}">
              <a16:creationId xmlns:a16="http://schemas.microsoft.com/office/drawing/2014/main" id="{7CF07D6C-7FBC-6D40-AD7D-174E78AE53C1}"/>
            </a:ext>
          </a:extLst>
        </xdr:cNvPr>
        <xdr:cNvSpPr txBox="1">
          <a:spLocks noChangeAspect="1"/>
        </xdr:cNvSpPr>
      </xdr:nvSpPr>
      <xdr:spPr>
        <a:xfrm>
          <a:off x="8489249" y="1429063"/>
          <a:ext cx="3613516" cy="615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LEAVE</a:t>
          </a:r>
          <a:r>
            <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 TRACKING</a:t>
          </a:r>
        </a:p>
      </xdr:txBody>
    </xdr:sp>
    <xdr:clientData/>
  </xdr:twoCellAnchor>
  <xdr:twoCellAnchor>
    <xdr:from>
      <xdr:col>10</xdr:col>
      <xdr:colOff>253304</xdr:colOff>
      <xdr:row>9</xdr:row>
      <xdr:rowOff>151432</xdr:rowOff>
    </xdr:from>
    <xdr:to>
      <xdr:col>14</xdr:col>
      <xdr:colOff>574980</xdr:colOff>
      <xdr:row>11</xdr:row>
      <xdr:rowOff>169690</xdr:rowOff>
    </xdr:to>
    <xdr:sp macro="" textlink="">
      <xdr:nvSpPr>
        <xdr:cNvPr id="115" name="TextBox 114">
          <a:extLst>
            <a:ext uri="{FF2B5EF4-FFF2-40B4-BE49-F238E27FC236}">
              <a16:creationId xmlns:a16="http://schemas.microsoft.com/office/drawing/2014/main" id="{D24569B1-AC3D-5441-98F2-3D68F000177F}"/>
            </a:ext>
          </a:extLst>
        </xdr:cNvPr>
        <xdr:cNvSpPr txBox="1">
          <a:spLocks noChangeAspect="1"/>
        </xdr:cNvSpPr>
      </xdr:nvSpPr>
      <xdr:spPr>
        <a:xfrm>
          <a:off x="8482904" y="1797352"/>
          <a:ext cx="3613516" cy="384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Leave taken by job title</a:t>
          </a:r>
        </a:p>
      </xdr:txBody>
    </xdr:sp>
    <xdr:clientData/>
  </xdr:twoCellAnchor>
  <xdr:twoCellAnchor>
    <xdr:from>
      <xdr:col>15</xdr:col>
      <xdr:colOff>455544</xdr:colOff>
      <xdr:row>15</xdr:row>
      <xdr:rowOff>27609</xdr:rowOff>
    </xdr:from>
    <xdr:to>
      <xdr:col>20</xdr:col>
      <xdr:colOff>704022</xdr:colOff>
      <xdr:row>23</xdr:row>
      <xdr:rowOff>124239</xdr:rowOff>
    </xdr:to>
    <xdr:graphicFrame macro="">
      <xdr:nvGraphicFramePr>
        <xdr:cNvPr id="116" name="Chart 115">
          <a:extLst>
            <a:ext uri="{FF2B5EF4-FFF2-40B4-BE49-F238E27FC236}">
              <a16:creationId xmlns:a16="http://schemas.microsoft.com/office/drawing/2014/main" id="{DF2AD34E-C4AE-E44C-8365-AD1FE372E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510335</xdr:colOff>
      <xdr:row>12</xdr:row>
      <xdr:rowOff>55806</xdr:rowOff>
    </xdr:from>
    <xdr:to>
      <xdr:col>20</xdr:col>
      <xdr:colOff>3750</xdr:colOff>
      <xdr:row>15</xdr:row>
      <xdr:rowOff>122222</xdr:rowOff>
    </xdr:to>
    <xdr:sp macro="" textlink="">
      <xdr:nvSpPr>
        <xdr:cNvPr id="117" name="TextBox 116">
          <a:extLst>
            <a:ext uri="{FF2B5EF4-FFF2-40B4-BE49-F238E27FC236}">
              <a16:creationId xmlns:a16="http://schemas.microsoft.com/office/drawing/2014/main" id="{55E960DA-4612-E749-A659-202B65830E62}"/>
            </a:ext>
          </a:extLst>
        </xdr:cNvPr>
        <xdr:cNvSpPr txBox="1">
          <a:spLocks noChangeAspect="1"/>
        </xdr:cNvSpPr>
      </xdr:nvSpPr>
      <xdr:spPr>
        <a:xfrm>
          <a:off x="12934248" y="2209284"/>
          <a:ext cx="3634719" cy="604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REGIONS</a:t>
          </a:r>
        </a:p>
        <a:p>
          <a:endPar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15</xdr:col>
      <xdr:colOff>503990</xdr:colOff>
      <xdr:row>13</xdr:row>
      <xdr:rowOff>154967</xdr:rowOff>
    </xdr:from>
    <xdr:to>
      <xdr:col>19</xdr:col>
      <xdr:colOff>825665</xdr:colOff>
      <xdr:row>15</xdr:row>
      <xdr:rowOff>173225</xdr:rowOff>
    </xdr:to>
    <xdr:sp macro="" textlink="">
      <xdr:nvSpPr>
        <xdr:cNvPr id="118" name="TextBox 117">
          <a:extLst>
            <a:ext uri="{FF2B5EF4-FFF2-40B4-BE49-F238E27FC236}">
              <a16:creationId xmlns:a16="http://schemas.microsoft.com/office/drawing/2014/main" id="{04650E77-960E-2347-8C3F-22F93AC34C9C}"/>
            </a:ext>
          </a:extLst>
        </xdr:cNvPr>
        <xdr:cNvSpPr txBox="1">
          <a:spLocks noChangeAspect="1"/>
        </xdr:cNvSpPr>
      </xdr:nvSpPr>
      <xdr:spPr>
        <a:xfrm>
          <a:off x="12927903" y="2487902"/>
          <a:ext cx="3634719" cy="377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Employees per region</a:t>
          </a:r>
        </a:p>
      </xdr:txBody>
    </xdr:sp>
    <xdr:clientData/>
  </xdr:twoCellAnchor>
  <xdr:twoCellAnchor>
    <xdr:from>
      <xdr:col>15</xdr:col>
      <xdr:colOff>586265</xdr:colOff>
      <xdr:row>9</xdr:row>
      <xdr:rowOff>21892</xdr:rowOff>
    </xdr:from>
    <xdr:to>
      <xdr:col>17</xdr:col>
      <xdr:colOff>586961</xdr:colOff>
      <xdr:row>11</xdr:row>
      <xdr:rowOff>40150</xdr:rowOff>
    </xdr:to>
    <xdr:sp macro="" textlink="">
      <xdr:nvSpPr>
        <xdr:cNvPr id="119" name="TextBox 118">
          <a:extLst>
            <a:ext uri="{FF2B5EF4-FFF2-40B4-BE49-F238E27FC236}">
              <a16:creationId xmlns:a16="http://schemas.microsoft.com/office/drawing/2014/main" id="{7414750A-F991-2045-8F7D-E333A3E61678}"/>
            </a:ext>
          </a:extLst>
        </xdr:cNvPr>
        <xdr:cNvSpPr txBox="1">
          <a:spLocks noChangeAspect="1"/>
        </xdr:cNvSpPr>
      </xdr:nvSpPr>
      <xdr:spPr>
        <a:xfrm>
          <a:off x="13010178" y="1637001"/>
          <a:ext cx="1657218" cy="377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400" b="1" baseline="0">
              <a:latin typeface="Arial" panose="020B0604020202020204" pitchFamily="34" charset="0"/>
              <a:cs typeface="Arial" panose="020B0604020202020204" pitchFamily="34" charset="0"/>
            </a:rPr>
            <a:t>Average Rating</a:t>
          </a:r>
        </a:p>
      </xdr:txBody>
    </xdr:sp>
    <xdr:clientData/>
  </xdr:twoCellAnchor>
  <xdr:twoCellAnchor>
    <xdr:from>
      <xdr:col>15</xdr:col>
      <xdr:colOff>644919</xdr:colOff>
      <xdr:row>4</xdr:row>
      <xdr:rowOff>153475</xdr:rowOff>
    </xdr:from>
    <xdr:to>
      <xdr:col>17</xdr:col>
      <xdr:colOff>386522</xdr:colOff>
      <xdr:row>9</xdr:row>
      <xdr:rowOff>69575</xdr:rowOff>
    </xdr:to>
    <xdr:sp macro="" textlink="PivotTables!X19">
      <xdr:nvSpPr>
        <xdr:cNvPr id="120" name="TextBox 119">
          <a:extLst>
            <a:ext uri="{FF2B5EF4-FFF2-40B4-BE49-F238E27FC236}">
              <a16:creationId xmlns:a16="http://schemas.microsoft.com/office/drawing/2014/main" id="{C4CC6062-C848-6441-A88A-2FAB75B5044A}"/>
            </a:ext>
          </a:extLst>
        </xdr:cNvPr>
        <xdr:cNvSpPr txBox="1">
          <a:spLocks noChangeAspect="1"/>
        </xdr:cNvSpPr>
      </xdr:nvSpPr>
      <xdr:spPr>
        <a:xfrm>
          <a:off x="13068832" y="871301"/>
          <a:ext cx="1398125" cy="8133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77A12C52-728B-E44B-8C4F-5641DF98D11E}" type="TxLink">
            <a:rPr lang="en-US" sz="6600" b="1" i="0" u="none" strike="noStrike">
              <a:solidFill>
                <a:srgbClr val="000000"/>
              </a:solidFill>
              <a:latin typeface="Arial" panose="020B0604020202020204" pitchFamily="34" charset="0"/>
              <a:cs typeface="Arial" panose="020B0604020202020204" pitchFamily="34" charset="0"/>
            </a:rPr>
            <a:t>2.6</a:t>
          </a:fld>
          <a:endParaRPr lang="en-US" sz="307000" b="1">
            <a:latin typeface="Arial" panose="020B0604020202020204" pitchFamily="34" charset="0"/>
            <a:cs typeface="Arial" panose="020B0604020202020204" pitchFamily="34" charset="0"/>
          </a:endParaRPr>
        </a:p>
      </xdr:txBody>
    </xdr:sp>
    <xdr:clientData/>
  </xdr:twoCellAnchor>
  <xdr:twoCellAnchor editAs="oneCell">
    <xdr:from>
      <xdr:col>17</xdr:col>
      <xdr:colOff>427935</xdr:colOff>
      <xdr:row>1</xdr:row>
      <xdr:rowOff>55216</xdr:rowOff>
    </xdr:from>
    <xdr:to>
      <xdr:col>20</xdr:col>
      <xdr:colOff>500820</xdr:colOff>
      <xdr:row>12</xdr:row>
      <xdr:rowOff>41413</xdr:rowOff>
    </xdr:to>
    <xdr:pic>
      <xdr:nvPicPr>
        <xdr:cNvPr id="122" name="Picture 121">
          <a:extLst>
            <a:ext uri="{FF2B5EF4-FFF2-40B4-BE49-F238E27FC236}">
              <a16:creationId xmlns:a16="http://schemas.microsoft.com/office/drawing/2014/main" id="{A5741143-4B07-7D46-B0F9-62D39EB399B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4508370" y="234673"/>
          <a:ext cx="2557667" cy="1960218"/>
        </a:xfrm>
        <a:prstGeom prst="rect">
          <a:avLst/>
        </a:prstGeom>
      </xdr:spPr>
    </xdr:pic>
    <xdr:clientData/>
  </xdr:twoCellAnchor>
  <xdr:twoCellAnchor>
    <xdr:from>
      <xdr:col>15</xdr:col>
      <xdr:colOff>483278</xdr:colOff>
      <xdr:row>1</xdr:row>
      <xdr:rowOff>70163</xdr:rowOff>
    </xdr:from>
    <xdr:to>
      <xdr:col>19</xdr:col>
      <xdr:colOff>804953</xdr:colOff>
      <xdr:row>4</xdr:row>
      <xdr:rowOff>136580</xdr:rowOff>
    </xdr:to>
    <xdr:sp macro="" textlink="">
      <xdr:nvSpPr>
        <xdr:cNvPr id="123" name="TextBox 122">
          <a:extLst>
            <a:ext uri="{FF2B5EF4-FFF2-40B4-BE49-F238E27FC236}">
              <a16:creationId xmlns:a16="http://schemas.microsoft.com/office/drawing/2014/main" id="{411C909E-3C90-7E49-BF1A-06A1A1246CA2}"/>
            </a:ext>
          </a:extLst>
        </xdr:cNvPr>
        <xdr:cNvSpPr txBox="1">
          <a:spLocks noChangeAspect="1"/>
        </xdr:cNvSpPr>
      </xdr:nvSpPr>
      <xdr:spPr>
        <a:xfrm>
          <a:off x="12907191" y="249620"/>
          <a:ext cx="3634719" cy="604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PERFORMANCE</a:t>
          </a:r>
        </a:p>
        <a:p>
          <a:endParaRPr lang="en-US" sz="2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15</xdr:col>
      <xdr:colOff>476933</xdr:colOff>
      <xdr:row>2</xdr:row>
      <xdr:rowOff>169325</xdr:rowOff>
    </xdr:from>
    <xdr:to>
      <xdr:col>19</xdr:col>
      <xdr:colOff>798608</xdr:colOff>
      <xdr:row>5</xdr:row>
      <xdr:rowOff>8126</xdr:rowOff>
    </xdr:to>
    <xdr:sp macro="" textlink="">
      <xdr:nvSpPr>
        <xdr:cNvPr id="124" name="TextBox 123">
          <a:extLst>
            <a:ext uri="{FF2B5EF4-FFF2-40B4-BE49-F238E27FC236}">
              <a16:creationId xmlns:a16="http://schemas.microsoft.com/office/drawing/2014/main" id="{79CC2094-2239-A941-B9BF-998338E0EB08}"/>
            </a:ext>
          </a:extLst>
        </xdr:cNvPr>
        <xdr:cNvSpPr txBox="1">
          <a:spLocks noChangeAspect="1"/>
        </xdr:cNvSpPr>
      </xdr:nvSpPr>
      <xdr:spPr>
        <a:xfrm>
          <a:off x="12900846" y="528238"/>
          <a:ext cx="3634719" cy="377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200" b="1" baseline="0">
              <a:latin typeface="Arial" panose="020B0604020202020204" pitchFamily="34" charset="0"/>
              <a:cs typeface="Arial" panose="020B0604020202020204" pitchFamily="34" charset="0"/>
            </a:rPr>
            <a:t>Average performance rating</a:t>
          </a:r>
        </a:p>
      </xdr:txBody>
    </xdr:sp>
    <xdr:clientData/>
  </xdr:twoCellAnchor>
  <xdr:twoCellAnchor editAs="oneCell">
    <xdr:from>
      <xdr:col>0</xdr:col>
      <xdr:colOff>344405</xdr:colOff>
      <xdr:row>0</xdr:row>
      <xdr:rowOff>33671</xdr:rowOff>
    </xdr:from>
    <xdr:to>
      <xdr:col>2</xdr:col>
      <xdr:colOff>43049</xdr:colOff>
      <xdr:row>7</xdr:row>
      <xdr:rowOff>121977</xdr:rowOff>
    </xdr:to>
    <xdr:pic>
      <xdr:nvPicPr>
        <xdr:cNvPr id="128" name="Picture 127">
          <a:extLst>
            <a:ext uri="{FF2B5EF4-FFF2-40B4-BE49-F238E27FC236}">
              <a16:creationId xmlns:a16="http://schemas.microsoft.com/office/drawing/2014/main" id="{5E75F89A-2701-C6F5-3E9E-D80BC34C3E4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4405" y="33671"/>
          <a:ext cx="1348926" cy="1343956"/>
        </a:xfrm>
        <a:prstGeom prst="rect">
          <a:avLst/>
        </a:prstGeom>
      </xdr:spPr>
    </xdr:pic>
    <xdr:clientData/>
  </xdr:twoCellAnchor>
  <xdr:twoCellAnchor>
    <xdr:from>
      <xdr:col>1</xdr:col>
      <xdr:colOff>788190</xdr:colOff>
      <xdr:row>0</xdr:row>
      <xdr:rowOff>27627</xdr:rowOff>
    </xdr:from>
    <xdr:to>
      <xdr:col>3</xdr:col>
      <xdr:colOff>717515</xdr:colOff>
      <xdr:row>4</xdr:row>
      <xdr:rowOff>43051</xdr:rowOff>
    </xdr:to>
    <xdr:sp macro="" textlink="">
      <xdr:nvSpPr>
        <xdr:cNvPr id="129" name="TextBox 128">
          <a:extLst>
            <a:ext uri="{FF2B5EF4-FFF2-40B4-BE49-F238E27FC236}">
              <a16:creationId xmlns:a16="http://schemas.microsoft.com/office/drawing/2014/main" id="{39E05A1E-C596-474F-99D9-2C0CDADBAA54}"/>
            </a:ext>
          </a:extLst>
        </xdr:cNvPr>
        <xdr:cNvSpPr txBox="1">
          <a:spLocks noChangeAspect="1"/>
        </xdr:cNvSpPr>
      </xdr:nvSpPr>
      <xdr:spPr>
        <a:xfrm>
          <a:off x="1613331" y="27627"/>
          <a:ext cx="1579608" cy="732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4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HR</a:t>
          </a:r>
          <a:endParaRPr lang="en-US" sz="44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xdr:col>
      <xdr:colOff>811956</xdr:colOff>
      <xdr:row>3</xdr:row>
      <xdr:rowOff>66501</xdr:rowOff>
    </xdr:from>
    <xdr:to>
      <xdr:col>6</xdr:col>
      <xdr:colOff>308491</xdr:colOff>
      <xdr:row>6</xdr:row>
      <xdr:rowOff>134497</xdr:rowOff>
    </xdr:to>
    <xdr:sp macro="" textlink="">
      <xdr:nvSpPr>
        <xdr:cNvPr id="130" name="TextBox 129">
          <a:extLst>
            <a:ext uri="{FF2B5EF4-FFF2-40B4-BE49-F238E27FC236}">
              <a16:creationId xmlns:a16="http://schemas.microsoft.com/office/drawing/2014/main" id="{EDBA0A4A-B07C-1542-AB94-CD14975E3044}"/>
            </a:ext>
          </a:extLst>
        </xdr:cNvPr>
        <xdr:cNvSpPr txBox="1">
          <a:spLocks noChangeAspect="1"/>
        </xdr:cNvSpPr>
      </xdr:nvSpPr>
      <xdr:spPr>
        <a:xfrm>
          <a:off x="1637097" y="604637"/>
          <a:ext cx="3622241" cy="606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rPr>
            <a:t>Dashboard</a:t>
          </a:r>
          <a:endParaRPr lang="en-US" sz="2000" b="1" baseline="0">
            <a:solidFill>
              <a:schemeClr val="accent2">
                <a:lumMod val="75000"/>
              </a:schemeClr>
            </a:solidFill>
            <a:effectLst>
              <a:outerShdw blurRad="63500" sx="102000" sy="102000" algn="ct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xdr:col>
      <xdr:colOff>810954</xdr:colOff>
      <xdr:row>5</xdr:row>
      <xdr:rowOff>24546</xdr:rowOff>
    </xdr:from>
    <xdr:to>
      <xdr:col>7</xdr:col>
      <xdr:colOff>28698</xdr:colOff>
      <xdr:row>7</xdr:row>
      <xdr:rowOff>42804</xdr:rowOff>
    </xdr:to>
    <xdr:sp macro="" textlink="">
      <xdr:nvSpPr>
        <xdr:cNvPr id="131" name="TextBox 130">
          <a:extLst>
            <a:ext uri="{FF2B5EF4-FFF2-40B4-BE49-F238E27FC236}">
              <a16:creationId xmlns:a16="http://schemas.microsoft.com/office/drawing/2014/main" id="{6CA2AAEC-CB3E-5046-A4D8-F2F10683C66E}"/>
            </a:ext>
          </a:extLst>
        </xdr:cNvPr>
        <xdr:cNvSpPr txBox="1">
          <a:spLocks noChangeAspect="1"/>
        </xdr:cNvSpPr>
      </xdr:nvSpPr>
      <xdr:spPr>
        <a:xfrm>
          <a:off x="1636095" y="921439"/>
          <a:ext cx="4168592" cy="377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600" b="1" baseline="0">
              <a:solidFill>
                <a:schemeClr val="bg1"/>
              </a:solidFill>
              <a:latin typeface="Arial" panose="020B0604020202020204" pitchFamily="34" charset="0"/>
              <a:cs typeface="Arial" panose="020B0604020202020204" pitchFamily="34" charset="0"/>
            </a:rPr>
            <a:t>Analyze and monitor the HR Department</a:t>
          </a:r>
        </a:p>
      </xdr:txBody>
    </xdr:sp>
    <xdr:clientData/>
  </xdr:twoCellAnchor>
  <xdr:twoCellAnchor editAs="oneCell">
    <xdr:from>
      <xdr:col>6</xdr:col>
      <xdr:colOff>774700</xdr:colOff>
      <xdr:row>1</xdr:row>
      <xdr:rowOff>38101</xdr:rowOff>
    </xdr:from>
    <xdr:to>
      <xdr:col>9</xdr:col>
      <xdr:colOff>327026</xdr:colOff>
      <xdr:row>5</xdr:row>
      <xdr:rowOff>85853</xdr:rowOff>
    </xdr:to>
    <mc:AlternateContent xmlns:mc="http://schemas.openxmlformats.org/markup-compatibility/2006">
      <mc:Choice xmlns:a14="http://schemas.microsoft.com/office/drawing/2010/main" Requires="a14">
        <xdr:graphicFrame macro="">
          <xdr:nvGraphicFramePr>
            <xdr:cNvPr id="132" name="Gender">
              <a:extLst>
                <a:ext uri="{FF2B5EF4-FFF2-40B4-BE49-F238E27FC236}">
                  <a16:creationId xmlns:a16="http://schemas.microsoft.com/office/drawing/2014/main" id="{6B49F281-1592-F245-95AB-A86AD1941F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27700" y="215901"/>
              <a:ext cx="2028826" cy="758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241300</xdr:colOff>
      <xdr:row>1</xdr:row>
      <xdr:rowOff>0</xdr:rowOff>
    </xdr:from>
    <xdr:to>
      <xdr:col>15</xdr:col>
      <xdr:colOff>152400</xdr:colOff>
      <xdr:row>6</xdr:row>
      <xdr:rowOff>101600</xdr:rowOff>
    </xdr:to>
    <mc:AlternateContent xmlns:mc="http://schemas.openxmlformats.org/markup-compatibility/2006">
      <mc:Choice xmlns:a14="http://schemas.microsoft.com/office/drawing/2010/main" Requires="a14">
        <xdr:graphicFrame macro="">
          <xdr:nvGraphicFramePr>
            <xdr:cNvPr id="133" name="Department">
              <a:extLst>
                <a:ext uri="{FF2B5EF4-FFF2-40B4-BE49-F238E27FC236}">
                  <a16:creationId xmlns:a16="http://schemas.microsoft.com/office/drawing/2014/main" id="{1C048A80-A753-8A4A-A993-577762D019B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96300" y="177800"/>
              <a:ext cx="40386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James Virtucio" refreshedDate="46136.946946180557" createdVersion="8" refreshedVersion="8" minRefreshableVersion="3" recordCount="50" xr:uid="{6ECD66A3-8364-9C4A-80D4-1D9645EC8CC5}">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942411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F5757-F7C2-8D43-A9CF-166234A89CB7}" name="departmen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X11"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0" baseItem="0"/>
  </dataFields>
  <formats count="2">
    <format dxfId="102">
      <pivotArea collapsedLevelsAreSubtotals="1" fieldPosition="0">
        <references count="1">
          <reference field="7" count="0"/>
        </references>
      </pivotArea>
    </format>
    <format dxfId="101">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5E46AC-4793-674C-BCD8-B6995B52A81B}" name="region"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11"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0681B-9EC1-F248-A635-4E8DDEB8ADEF}" name="skill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R11"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AF31D-AA24-CB4E-A679-83ACF1967C13}" name="workplac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E9371A-A8F3-DC42-8955-0D2DF76B94C3}" name="age rang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L12"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9D40F4-4E8B-AF4F-8639-9C9CB650AEE2}" name="salarie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G11"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numFmtId="165"/>
    <dataField name="Sum of Leave Taken" fld="16" baseField="0" baseItem="0"/>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C412BB-7D33-E14A-829A-33A912A3E5FE}" name="employment statu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F86DAB-AA1A-104C-9AD2-C0357CB40367}" sourceName="Gender">
  <pivotTables>
    <pivotTable tabId="3" name="salaries"/>
    <pivotTable tabId="3" name="department"/>
    <pivotTable tabId="3" name="employment status"/>
    <pivotTable tabId="3" name="region"/>
    <pivotTable tabId="3" name="skills"/>
    <pivotTable tabId="3" name="workplace"/>
  </pivotTables>
  <data>
    <tabular pivotCacheId="19424116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1E70BC9-B03C-4F49-B55A-7AF265CB1AA0}" sourceName="Department">
  <pivotTables>
    <pivotTable tabId="3" name="salaries"/>
    <pivotTable tabId="3" name="age range"/>
    <pivotTable tabId="3" name="department"/>
    <pivotTable tabId="3" name="employment status"/>
    <pivotTable tabId="3" name="region"/>
    <pivotTable tabId="3" name="skills"/>
    <pivotTable tabId="3" name="workplace"/>
  </pivotTables>
  <data>
    <tabular pivotCacheId="1942411615">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7C06045-4B95-5244-B236-4F9FD2BF2715}" cache="Slicer_Gender" caption="Filter by Gender" columnCount="2" style="SlicerStyleDark2" rowHeight="365760"/>
  <slicer name="Gender 1" xr10:uid="{2089998B-0238-6440-9F5B-5747990C5C9B}" cache="Slicer_Gender" caption="Gender" style="SlicerStyleDark2" rowHeight="230716"/>
  <slicer name="Department" xr10:uid="{42742526-B825-4A4D-975C-A643C683E928}" cache="Slicer_Department" caption="Filter by Department" columnCount="3" style="SlicerStyleDark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26" dataDxfId="125">
  <autoFilter ref="A1:U51" xr:uid="{BD7F130C-4931-4EC9-8AE2-A64F6556D3A3}"/>
  <tableColumns count="21">
    <tableColumn id="1" xr3:uid="{6BDBB43D-1DF4-4FF3-9C56-0E3D699A83FC}" name="Employee ID" dataDxfId="124"/>
    <tableColumn id="2" xr3:uid="{363D91B7-21AD-4B4B-86DE-95D24769EAA5}" name="Full Name" dataDxfId="123"/>
    <tableColumn id="3" xr3:uid="{728245EC-9766-45F5-9851-7FEFEFBE2652}" name="Gender" dataDxfId="122"/>
    <tableColumn id="4" xr3:uid="{DD8A90D1-163F-4B0E-A039-9E7A16AFC106}" name="Age" dataDxfId="121"/>
    <tableColumn id="5" xr3:uid="{0672993B-A00D-49AE-84B7-674089468A17}" name="Age range" dataDxfId="120"/>
    <tableColumn id="6" xr3:uid="{B1ADEE80-60F1-4EE3-B3FB-8484EE6C17B3}" name="Region" dataDxfId="119"/>
    <tableColumn id="7" xr3:uid="{8E0A56EE-3456-4513-ADA0-27F6CAA8C17B}" name="Job Title" dataDxfId="118"/>
    <tableColumn id="8" xr3:uid="{0D9D5DB9-01CB-4300-B0CD-256901621ADC}" name="Department" dataDxfId="117"/>
    <tableColumn id="9" xr3:uid="{9EBDAC3F-6A39-4A78-B562-848691EE3AD1}" name="Manager/Supervisor" dataDxfId="116"/>
    <tableColumn id="10" xr3:uid="{AF849F24-150A-4123-B3F8-A46B4D4F7BC6}" name="Date of Hire" dataDxfId="115"/>
    <tableColumn id="11" xr3:uid="{8C57202E-334A-462A-9C44-E5E2468122E4}" name="Employment Status" dataDxfId="114"/>
    <tableColumn id="12" xr3:uid="{8A07812C-245C-4D55-A210-3AE7E0BB84EB}" name="Work Location" dataDxfId="113"/>
    <tableColumn id="13" xr3:uid="{6441036C-01DD-4130-8E4B-DBA441BCB744}" name="Salary" dataDxfId="112"/>
    <tableColumn id="14" xr3:uid="{ADCF531A-A98E-422C-939D-04D58C2423FB}" name="Pay Grade" dataDxfId="111"/>
    <tableColumn id="15" xr3:uid="{DE922695-AE31-4F31-8F89-61E6E7E646AB}" name="Bonus/Allowances" dataDxfId="110"/>
    <tableColumn id="16" xr3:uid="{62F2B816-9954-4A01-AEDC-4C13B3A2A52F}" name="Insurance Details" dataDxfId="109"/>
    <tableColumn id="17" xr3:uid="{6EFEC335-9B75-45D5-B403-A8A9E557BE24}" name="Leave Taken" dataDxfId="108"/>
    <tableColumn id="18" xr3:uid="{9DA1B78E-154E-42E4-A1BC-FE1CF363DCBA}" name="Performance Rating" dataDxfId="107"/>
    <tableColumn id="19" xr3:uid="{7E4B5E79-5639-4E3A-91A1-D1D8767BB705}" name="Training Programs Attended" dataDxfId="106"/>
    <tableColumn id="20" xr3:uid="{2E731344-8C6D-4001-9E36-F16B80500F61}" name="Skills" dataDxfId="105"/>
    <tableColumn id="21" xr3:uid="{9DCE550B-F788-4423-B330-CAB70C041DFC}" name="Certifications" dataDxfId="10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031E-B095-9B4D-988F-E0D40BC643D9}">
  <dimension ref="A1"/>
  <sheetViews>
    <sheetView showGridLines="0" zoomScaleNormal="100" workbookViewId="0">
      <selection activeCell="W11" sqref="W11"/>
    </sheetView>
  </sheetViews>
  <sheetFormatPr baseColWidth="10" defaultRowHeight="14"/>
  <cols>
    <col min="1" max="16384" width="10.83203125" style="4"/>
  </cols>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abSelected="1" workbookViewId="0">
      <selection activeCell="B8" sqref="B8"/>
    </sheetView>
  </sheetViews>
  <sheetFormatPr baseColWidth="10" defaultColWidth="9.1640625" defaultRowHeight="15"/>
  <cols>
    <col min="1" max="1" width="17.6640625" style="2" bestFit="1" customWidth="1"/>
    <col min="2" max="2" width="18.1640625" style="2" bestFit="1" customWidth="1"/>
    <col min="3" max="3" width="12.83203125" style="2" bestFit="1" customWidth="1"/>
    <col min="4" max="4" width="9.5" style="2" bestFit="1" customWidth="1"/>
    <col min="5" max="5" width="15.83203125" style="2" bestFit="1" customWidth="1"/>
    <col min="6" max="6" width="12.33203125" style="2" bestFit="1" customWidth="1"/>
    <col min="7" max="7" width="14.1640625" style="2" bestFit="1" customWidth="1"/>
    <col min="8" max="8" width="17.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3203125" style="2" bestFit="1" customWidth="1"/>
    <col min="14" max="14" width="16.1640625" style="2" bestFit="1" customWidth="1"/>
    <col min="15" max="15" width="24" style="2" bestFit="1" customWidth="1"/>
    <col min="16" max="16" width="22.6640625" style="2" bestFit="1" customWidth="1"/>
    <col min="17" max="17" width="18.1640625" style="2" bestFit="1" customWidth="1"/>
    <col min="18" max="18" width="25.5" style="2" bestFit="1" customWidth="1"/>
    <col min="19" max="19" width="34" style="2" bestFit="1" customWidth="1"/>
    <col min="20" max="20" width="16" style="2" bestFit="1" customWidth="1"/>
    <col min="21" max="21" width="21.1640625" style="2" bestFit="1" customWidth="1"/>
    <col min="22" max="16384" width="9.16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F229-4C12-E743-B537-80F80A215F3A}">
  <dimension ref="B3:X23"/>
  <sheetViews>
    <sheetView workbookViewId="0">
      <selection activeCell="G9" sqref="G9"/>
    </sheetView>
  </sheetViews>
  <sheetFormatPr baseColWidth="10" defaultRowHeight="15"/>
  <cols>
    <col min="1" max="1" width="4" customWidth="1"/>
    <col min="2" max="2" width="12.1640625" bestFit="1" customWidth="1"/>
    <col min="3" max="3" width="15.83203125" bestFit="1" customWidth="1"/>
    <col min="4" max="4" width="4.33203125" customWidth="1"/>
    <col min="5" max="5" width="12.1640625" bestFit="1" customWidth="1"/>
    <col min="6" max="6" width="11.5" bestFit="1" customWidth="1"/>
    <col min="7" max="7" width="16.33203125" bestFit="1" customWidth="1"/>
    <col min="8" max="8" width="4.33203125" customWidth="1"/>
    <col min="9" max="9" width="15.83203125" bestFit="1" customWidth="1"/>
    <col min="10" max="10" width="15.1640625" bestFit="1" customWidth="1"/>
    <col min="11" max="11" width="4.83203125" bestFit="1" customWidth="1"/>
    <col min="12" max="12" width="10" bestFit="1" customWidth="1"/>
    <col min="13" max="13" width="3.5" customWidth="1"/>
    <col min="14" max="14" width="12.1640625" bestFit="1" customWidth="1"/>
    <col min="15" max="15" width="15.83203125" bestFit="1" customWidth="1"/>
    <col min="16" max="16" width="5.5" customWidth="1"/>
    <col min="17" max="17" width="13.1640625" bestFit="1" customWidth="1"/>
    <col min="18" max="18" width="15.83203125" bestFit="1" customWidth="1"/>
    <col min="19" max="19" width="4.1640625" customWidth="1"/>
    <col min="20" max="20" width="12.1640625" bestFit="1" customWidth="1"/>
    <col min="21" max="21" width="15.83203125" bestFit="1" customWidth="1"/>
    <col min="22" max="22" width="4" customWidth="1"/>
    <col min="23" max="23" width="12.1640625" bestFit="1" customWidth="1"/>
    <col min="24" max="24" width="25" bestFit="1" customWidth="1"/>
  </cols>
  <sheetData>
    <row r="3" spans="2:24" ht="21" customHeight="1">
      <c r="B3" s="8" t="s">
        <v>220</v>
      </c>
      <c r="C3" s="8"/>
      <c r="E3" s="10" t="s">
        <v>219</v>
      </c>
      <c r="F3" s="10"/>
      <c r="G3" s="10"/>
      <c r="I3" s="10" t="s">
        <v>222</v>
      </c>
      <c r="J3" s="10"/>
      <c r="K3" s="10"/>
      <c r="L3" s="10"/>
      <c r="N3" s="14" t="s">
        <v>223</v>
      </c>
      <c r="O3" s="15"/>
      <c r="Q3" s="10" t="s">
        <v>224</v>
      </c>
      <c r="R3" s="10"/>
      <c r="T3" s="10" t="s">
        <v>226</v>
      </c>
      <c r="U3" s="10"/>
      <c r="W3" s="10" t="s">
        <v>228</v>
      </c>
      <c r="X3" s="10"/>
    </row>
    <row r="4" spans="2:24" ht="15" customHeight="1">
      <c r="B4" s="9"/>
      <c r="C4" s="9"/>
    </row>
    <row r="5" spans="2:24">
      <c r="B5" s="5" t="s">
        <v>214</v>
      </c>
      <c r="C5" t="s">
        <v>216</v>
      </c>
      <c r="E5" s="5" t="s">
        <v>214</v>
      </c>
      <c r="F5" t="s">
        <v>217</v>
      </c>
      <c r="G5" t="s">
        <v>225</v>
      </c>
      <c r="I5" s="5" t="s">
        <v>216</v>
      </c>
      <c r="J5" s="5" t="s">
        <v>221</v>
      </c>
      <c r="N5" s="5" t="s">
        <v>214</v>
      </c>
      <c r="O5" t="s">
        <v>216</v>
      </c>
      <c r="Q5" s="5" t="s">
        <v>214</v>
      </c>
      <c r="R5" t="s">
        <v>216</v>
      </c>
      <c r="T5" s="5" t="s">
        <v>214</v>
      </c>
      <c r="U5" t="s">
        <v>216</v>
      </c>
      <c r="W5" s="5" t="s">
        <v>214</v>
      </c>
      <c r="X5" t="s">
        <v>227</v>
      </c>
    </row>
    <row r="6" spans="2:24">
      <c r="B6" s="6" t="s">
        <v>63</v>
      </c>
      <c r="C6" s="7">
        <v>17</v>
      </c>
      <c r="E6" s="6" t="s">
        <v>121</v>
      </c>
      <c r="F6" s="12">
        <v>167041</v>
      </c>
      <c r="G6" s="12">
        <v>28</v>
      </c>
      <c r="I6" s="5" t="s">
        <v>214</v>
      </c>
      <c r="J6" t="s">
        <v>22</v>
      </c>
      <c r="K6" t="s">
        <v>37</v>
      </c>
      <c r="L6" t="s">
        <v>215</v>
      </c>
      <c r="N6" s="6" t="s">
        <v>44</v>
      </c>
      <c r="O6" s="7">
        <v>23</v>
      </c>
      <c r="Q6" s="6" t="s">
        <v>75</v>
      </c>
      <c r="R6" s="7">
        <v>12</v>
      </c>
      <c r="T6" s="6" t="s">
        <v>39</v>
      </c>
      <c r="U6" s="7">
        <v>14</v>
      </c>
      <c r="W6" s="6" t="s">
        <v>26</v>
      </c>
      <c r="X6" s="17">
        <v>2.5833333333333335</v>
      </c>
    </row>
    <row r="7" spans="2:24">
      <c r="B7" s="6" t="s">
        <v>29</v>
      </c>
      <c r="C7" s="7">
        <v>20</v>
      </c>
      <c r="E7" s="6" t="s">
        <v>40</v>
      </c>
      <c r="F7" s="12">
        <v>613842</v>
      </c>
      <c r="G7" s="12">
        <v>110</v>
      </c>
      <c r="I7" s="6" t="s">
        <v>23</v>
      </c>
      <c r="J7" s="7">
        <v>6</v>
      </c>
      <c r="K7" s="7">
        <v>3</v>
      </c>
      <c r="L7" s="7">
        <v>9</v>
      </c>
      <c r="N7" s="6" t="s">
        <v>30</v>
      </c>
      <c r="O7" s="7">
        <v>8</v>
      </c>
      <c r="Q7" s="6" t="s">
        <v>34</v>
      </c>
      <c r="R7" s="7">
        <v>11</v>
      </c>
      <c r="T7" s="6" t="s">
        <v>24</v>
      </c>
      <c r="U7" s="7">
        <v>10</v>
      </c>
      <c r="W7" s="6" t="s">
        <v>41</v>
      </c>
      <c r="X7" s="17">
        <v>3.3</v>
      </c>
    </row>
    <row r="8" spans="2:24">
      <c r="B8" s="6" t="s">
        <v>111</v>
      </c>
      <c r="C8" s="7">
        <v>13</v>
      </c>
      <c r="E8" s="6" t="s">
        <v>72</v>
      </c>
      <c r="F8" s="12">
        <v>633594</v>
      </c>
      <c r="G8" s="12">
        <v>104</v>
      </c>
      <c r="I8" s="6" t="s">
        <v>38</v>
      </c>
      <c r="J8" s="7">
        <v>7</v>
      </c>
      <c r="K8" s="7">
        <v>6</v>
      </c>
      <c r="L8" s="7">
        <v>13</v>
      </c>
      <c r="N8" s="6" t="s">
        <v>54</v>
      </c>
      <c r="O8" s="7">
        <v>19</v>
      </c>
      <c r="Q8" s="6" t="s">
        <v>96</v>
      </c>
      <c r="R8" s="7">
        <v>7</v>
      </c>
      <c r="T8" s="6" t="s">
        <v>102</v>
      </c>
      <c r="U8" s="7">
        <v>7</v>
      </c>
      <c r="W8" s="6" t="s">
        <v>81</v>
      </c>
      <c r="X8" s="17">
        <v>2.25</v>
      </c>
    </row>
    <row r="9" spans="2:24">
      <c r="B9" s="6" t="s">
        <v>215</v>
      </c>
      <c r="C9" s="7">
        <v>50</v>
      </c>
      <c r="E9" s="6" t="s">
        <v>50</v>
      </c>
      <c r="F9" s="12">
        <v>959266</v>
      </c>
      <c r="G9" s="12">
        <v>123</v>
      </c>
      <c r="I9" s="6" t="s">
        <v>59</v>
      </c>
      <c r="J9" s="7">
        <v>5</v>
      </c>
      <c r="K9" s="7">
        <v>7</v>
      </c>
      <c r="L9" s="7">
        <v>12</v>
      </c>
      <c r="N9" s="6" t="s">
        <v>215</v>
      </c>
      <c r="O9" s="7">
        <v>50</v>
      </c>
      <c r="Q9" s="6" t="s">
        <v>56</v>
      </c>
      <c r="R9" s="7">
        <v>11</v>
      </c>
      <c r="T9" s="6" t="s">
        <v>80</v>
      </c>
      <c r="U9" s="7">
        <v>10</v>
      </c>
      <c r="W9" s="6" t="s">
        <v>51</v>
      </c>
      <c r="X9" s="17">
        <v>2.3636363636363638</v>
      </c>
    </row>
    <row r="10" spans="2:24">
      <c r="E10" s="6" t="s">
        <v>25</v>
      </c>
      <c r="F10" s="12">
        <v>731170</v>
      </c>
      <c r="G10" s="12">
        <v>122</v>
      </c>
      <c r="I10" s="6" t="s">
        <v>98</v>
      </c>
      <c r="J10" s="7">
        <v>4</v>
      </c>
      <c r="K10" s="7">
        <v>3</v>
      </c>
      <c r="L10" s="7">
        <v>7</v>
      </c>
      <c r="Q10" s="6" t="s">
        <v>66</v>
      </c>
      <c r="R10" s="7">
        <v>9</v>
      </c>
      <c r="T10" s="6" t="s">
        <v>49</v>
      </c>
      <c r="U10" s="7">
        <v>9</v>
      </c>
      <c r="W10" s="6" t="s">
        <v>60</v>
      </c>
      <c r="X10" s="17">
        <v>2.5555555555555554</v>
      </c>
    </row>
    <row r="11" spans="2:24">
      <c r="E11" s="6" t="s">
        <v>215</v>
      </c>
      <c r="F11" s="12">
        <v>3104913</v>
      </c>
      <c r="G11" s="12">
        <v>487</v>
      </c>
      <c r="I11" s="6" t="s">
        <v>68</v>
      </c>
      <c r="J11" s="7">
        <v>4</v>
      </c>
      <c r="K11" s="7">
        <v>5</v>
      </c>
      <c r="L11" s="7">
        <v>9</v>
      </c>
      <c r="Q11" s="6" t="s">
        <v>215</v>
      </c>
      <c r="R11" s="7">
        <v>50</v>
      </c>
      <c r="T11" s="6" t="s">
        <v>215</v>
      </c>
      <c r="U11" s="7">
        <v>50</v>
      </c>
      <c r="W11" s="6" t="s">
        <v>215</v>
      </c>
      <c r="X11" s="7">
        <v>2.62</v>
      </c>
    </row>
    <row r="12" spans="2:24">
      <c r="B12" s="6" t="s">
        <v>63</v>
      </c>
      <c r="C12">
        <f>IFERROR(GETPIVOTDATA("Full Name",$B$5,"Employment Status","Contract"),"0")</f>
        <v>17</v>
      </c>
      <c r="I12" s="6" t="s">
        <v>215</v>
      </c>
      <c r="J12" s="7">
        <v>26</v>
      </c>
      <c r="K12" s="7">
        <v>24</v>
      </c>
      <c r="L12" s="7">
        <v>50</v>
      </c>
      <c r="N12" s="6" t="s">
        <v>44</v>
      </c>
      <c r="O12">
        <f>IFERROR(GETPIVOTDATA("Full Name",$N$5,"Work Location","Branch Office"),"0")</f>
        <v>23</v>
      </c>
    </row>
    <row r="13" spans="2:24">
      <c r="B13" s="6" t="s">
        <v>29</v>
      </c>
      <c r="C13">
        <f>IFERROR(GETPIVOTDATA("Full Name",$B$5,"Employment Status","Full-Time"),"0")</f>
        <v>20</v>
      </c>
      <c r="N13" s="6" t="s">
        <v>30</v>
      </c>
      <c r="O13">
        <f>IFERROR(GETPIVOTDATA("Full Name",$N$5,"Work Location","Head Office"),"0")</f>
        <v>8</v>
      </c>
    </row>
    <row r="14" spans="2:24">
      <c r="B14" s="6" t="s">
        <v>111</v>
      </c>
      <c r="C14">
        <f>IFERROR(GETPIVOTDATA("Full Name",$B$5,"Employment Status","Part-Time"),"0")</f>
        <v>13</v>
      </c>
      <c r="E14" s="6" t="s">
        <v>121</v>
      </c>
      <c r="F14" s="11">
        <f>IFERROR(GETPIVOTDATA("Salary",$E$5,"Job Title","Analyst"),"0")</f>
        <v>167041</v>
      </c>
      <c r="G14" s="11">
        <f>IFERROR(GETPIVOTDATA("Sum of Leave Taken",$E$5,"Job Title","Analyst"),"0")</f>
        <v>28</v>
      </c>
      <c r="I14" s="6" t="s">
        <v>23</v>
      </c>
      <c r="J14">
        <f>IFERROR(GETPIVOTDATA("Full Name",$I$5,"Age range","18-25"),"0")</f>
        <v>9</v>
      </c>
      <c r="N14" s="6" t="s">
        <v>54</v>
      </c>
      <c r="O14">
        <f>IFERROR(GETPIVOTDATA("Full Name",$N$5,"Work Location","Remote"),"0")</f>
        <v>19</v>
      </c>
      <c r="Q14" s="6" t="s">
        <v>75</v>
      </c>
      <c r="R14">
        <f>IFERROR(GETPIVOTDATA("Full Name",$Q$5,"Skills","Communication"),"0")</f>
        <v>12</v>
      </c>
      <c r="T14" s="6" t="s">
        <v>39</v>
      </c>
      <c r="U14">
        <f>IFERROR(GETPIVOTDATA("Full Name",$T$5,"Region","Central"),"0")</f>
        <v>14</v>
      </c>
      <c r="W14" s="6" t="s">
        <v>26</v>
      </c>
      <c r="X14" s="17">
        <f>IFERROR(GETPIVOTDATA("Performance Rating",$W$5,"Department","Finance"),"0")</f>
        <v>2.5833333333333335</v>
      </c>
    </row>
    <row r="15" spans="2:24">
      <c r="B15" s="6" t="s">
        <v>218</v>
      </c>
      <c r="C15">
        <f>SUM(C12:C14)</f>
        <v>50</v>
      </c>
      <c r="E15" s="6" t="s">
        <v>40</v>
      </c>
      <c r="F15" s="11">
        <f>IFERROR(GETPIVOTDATA("Salary",$E$5,"Job Title","Designer"),"0")</f>
        <v>613842</v>
      </c>
      <c r="G15" s="11">
        <f>IFERROR(GETPIVOTDATA("Sum of Leave Taken",$E$5,"Job Title","Designer"),"0")</f>
        <v>110</v>
      </c>
      <c r="I15" s="6" t="s">
        <v>38</v>
      </c>
      <c r="J15">
        <f>IFERROR(GETPIVOTDATA("Full Name",$I$5,"Age range","26-35"),"0")</f>
        <v>13</v>
      </c>
      <c r="N15" s="6" t="s">
        <v>218</v>
      </c>
      <c r="O15">
        <f>SUM(O12:O14)</f>
        <v>50</v>
      </c>
      <c r="Q15" s="6" t="s">
        <v>34</v>
      </c>
      <c r="R15">
        <f>IFERROR(GETPIVOTDATA("Full Name",$Q$5,"Skills","Design"),"0")</f>
        <v>11</v>
      </c>
      <c r="T15" s="6" t="s">
        <v>24</v>
      </c>
      <c r="U15">
        <f>IFERROR(GETPIVOTDATA("Full Name",$T$5,"Region","East"),"0")</f>
        <v>10</v>
      </c>
      <c r="W15" s="6" t="s">
        <v>41</v>
      </c>
      <c r="X15" s="17">
        <f>IFERROR(GETPIVOTDATA("Performance Rating",$W$5,"Department","HR"),"0")</f>
        <v>3.3</v>
      </c>
    </row>
    <row r="16" spans="2:24">
      <c r="E16" s="6" t="s">
        <v>72</v>
      </c>
      <c r="F16" s="11">
        <f>IFERROR(GETPIVOTDATA("Salary",$E$5,"Job Title","Developer"),"0")</f>
        <v>633594</v>
      </c>
      <c r="G16" s="11">
        <f>IFERROR(GETPIVOTDATA("Sum of Leave Taken",$E$5,"Job Title","Developer"),"0")</f>
        <v>104</v>
      </c>
      <c r="I16" s="6" t="s">
        <v>59</v>
      </c>
      <c r="J16">
        <f>IFERROR(GETPIVOTDATA("Full Name",$I$5,"Age range","36-45"),"0")</f>
        <v>12</v>
      </c>
      <c r="Q16" s="6" t="s">
        <v>96</v>
      </c>
      <c r="R16">
        <f>IFERROR(GETPIVOTDATA("Full Name",$Q$5,"Skills","Excel"),"0")</f>
        <v>7</v>
      </c>
      <c r="T16" s="6" t="s">
        <v>102</v>
      </c>
      <c r="U16">
        <f>IFERROR(GETPIVOTDATA("Full Name",$T$5,"Region","North"),"0")</f>
        <v>7</v>
      </c>
      <c r="W16" s="6" t="s">
        <v>81</v>
      </c>
      <c r="X16" s="17">
        <f>IFERROR(GETPIVOTDATA("Performance Rating",$W$5,"Department","IT"),"0")</f>
        <v>2.25</v>
      </c>
    </row>
    <row r="17" spans="5:24">
      <c r="E17" s="6" t="s">
        <v>50</v>
      </c>
      <c r="F17" s="11">
        <f>IFERROR(GETPIVOTDATA("Salary",$E$5,"Job Title","HR Specialist"),"0")</f>
        <v>959266</v>
      </c>
      <c r="G17" s="11">
        <f>IFERROR(GETPIVOTDATA("Sum of Leave Taken",$E$5,"Job Title","HR Specialist"),"0")</f>
        <v>123</v>
      </c>
      <c r="I17" s="6" t="s">
        <v>98</v>
      </c>
      <c r="J17">
        <f>IFERROR(GETPIVOTDATA("Full Name",$I$5,"Age range","46-55"),"0")</f>
        <v>7</v>
      </c>
      <c r="N17" s="13">
        <f>SUM(O12)/SUM($J$21:$J$22)</f>
        <v>0.46</v>
      </c>
      <c r="O17" s="13">
        <f>1-N17</f>
        <v>0.54</v>
      </c>
      <c r="Q17" s="6" t="s">
        <v>56</v>
      </c>
      <c r="R17">
        <f>IFERROR(GETPIVOTDATA("Full Name",$Q$5,"Skills","Management"),"0")</f>
        <v>11</v>
      </c>
      <c r="T17" s="6" t="s">
        <v>80</v>
      </c>
      <c r="U17">
        <f>IFERROR(GETPIVOTDATA("Full Name",$T$5,"Region","South"),"0")</f>
        <v>10</v>
      </c>
      <c r="W17" s="6" t="s">
        <v>51</v>
      </c>
      <c r="X17" s="17">
        <f>IFERROR(GETPIVOTDATA("Performance Rating",$W$5,"Department","Marketing"),"0")</f>
        <v>2.3636363636363638</v>
      </c>
    </row>
    <row r="18" spans="5:24">
      <c r="E18" s="6" t="s">
        <v>25</v>
      </c>
      <c r="F18" s="11">
        <f>IFERROR(GETPIVOTDATA("Salary",$E$5,"Job Title","Manager"),"0")</f>
        <v>731170</v>
      </c>
      <c r="G18" s="11">
        <f>IFERROR(GETPIVOTDATA("Sum of Leave Taken",$E$5,"Job Title","Manager"),"0")</f>
        <v>122</v>
      </c>
      <c r="I18" s="6" t="s">
        <v>68</v>
      </c>
      <c r="J18">
        <f>IFERROR(GETPIVOTDATA("Full Name",$I$5,"Age range","56 &lt;"),"0")</f>
        <v>9</v>
      </c>
      <c r="N18" s="13">
        <f>SUM(O13)/SUM($J$21:$J$22)</f>
        <v>0.16</v>
      </c>
      <c r="O18" s="13">
        <f t="shared" ref="O18:O19" si="0">1-N18</f>
        <v>0.84</v>
      </c>
      <c r="Q18" s="6" t="s">
        <v>66</v>
      </c>
      <c r="R18">
        <f>IFERROR(GETPIVOTDATA("Full Name",$Q$5,"Skills","Python"),"0")</f>
        <v>9</v>
      </c>
      <c r="T18" s="6" t="s">
        <v>49</v>
      </c>
      <c r="U18">
        <f>IFERROR(GETPIVOTDATA("Full Name",$T$5,"Region","West"),"0")</f>
        <v>9</v>
      </c>
      <c r="W18" s="6" t="s">
        <v>60</v>
      </c>
      <c r="X18" s="17">
        <f>IFERROR(GETPIVOTDATA("Performance Rating",$W$5,"Department","Operations"),"0")</f>
        <v>2.5555555555555554</v>
      </c>
    </row>
    <row r="19" spans="5:24">
      <c r="E19" s="6" t="s">
        <v>218</v>
      </c>
      <c r="F19" s="11">
        <f>SUM(F14:F18)</f>
        <v>3104913</v>
      </c>
      <c r="G19" s="11">
        <f>SUM(G14:G18)</f>
        <v>487</v>
      </c>
      <c r="N19" s="13">
        <f>SUM(O14)/SUM($J$21:$J$22)</f>
        <v>0.38</v>
      </c>
      <c r="O19" s="13">
        <f t="shared" si="0"/>
        <v>0.62</v>
      </c>
      <c r="T19" s="6" t="s">
        <v>218</v>
      </c>
      <c r="U19">
        <f>SUM(U14:U18)</f>
        <v>50</v>
      </c>
      <c r="W19" s="6" t="s">
        <v>218</v>
      </c>
      <c r="X19" s="17">
        <f>AVERAGE(X14:X18)</f>
        <v>2.6105050505050502</v>
      </c>
    </row>
    <row r="21" spans="5:24">
      <c r="I21" s="6" t="s">
        <v>37</v>
      </c>
      <c r="J21">
        <f>IFERROR(GETPIVOTDATA("Full Name",$I$5,"Gender","Male"),"0")</f>
        <v>24</v>
      </c>
      <c r="K21" s="13">
        <f>SUM(J21)/SUM($J$21:$J$22)</f>
        <v>0.48</v>
      </c>
      <c r="L21" s="16">
        <f>1-K21</f>
        <v>0.52</v>
      </c>
    </row>
    <row r="22" spans="5:24">
      <c r="I22" s="6" t="s">
        <v>22</v>
      </c>
      <c r="J22">
        <f>IFERROR(GETPIVOTDATA("Full Name",$I$5,"Gender","Female"),"0")</f>
        <v>26</v>
      </c>
      <c r="K22" s="13">
        <f>SUM(J22)/SUM($J$21:$J$22)</f>
        <v>0.52</v>
      </c>
      <c r="L22" s="16">
        <f>1-K22</f>
        <v>0.48</v>
      </c>
    </row>
    <row r="23" spans="5:24">
      <c r="I23" s="6" t="s">
        <v>218</v>
      </c>
      <c r="J23">
        <f>SUM(J21:J22)</f>
        <v>50</v>
      </c>
    </row>
  </sheetData>
  <mergeCells count="8">
    <mergeCell ref="T3:U3"/>
    <mergeCell ref="W3:X3"/>
    <mergeCell ref="B3:C3"/>
    <mergeCell ref="B4:C4"/>
    <mergeCell ref="I3:L3"/>
    <mergeCell ref="N3:O3"/>
    <mergeCell ref="Q3:R3"/>
    <mergeCell ref="E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OFFICE AGFC</cp:lastModifiedBy>
  <dcterms:created xsi:type="dcterms:W3CDTF">2024-12-11T17:14:33Z</dcterms:created>
  <dcterms:modified xsi:type="dcterms:W3CDTF">2026-04-25T12:41:52Z</dcterms:modified>
</cp:coreProperties>
</file>